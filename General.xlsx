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8F03EAD9-A10D-9C41-917E-0150976C0F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SHBOARD" sheetId="10" r:id="rId1"/>
    <sheet name="Sheet10" sheetId="22" r:id="rId2"/>
    <sheet name="Sheet8" sheetId="20" r:id="rId3"/>
    <sheet name="Report" sheetId="19" r:id="rId4"/>
    <sheet name="Analysis" sheetId="5" r:id="rId5"/>
    <sheet name="births-deaths-by-region" sheetId="4" r:id="rId6"/>
    <sheet name="births-deaths-natural-increase" sheetId="1" r:id="rId7"/>
    <sheet name="births-by-mothers-age" sheetId="2" r:id="rId8"/>
    <sheet name="age-specific-fertility-rates" sheetId="3" r:id="rId9"/>
  </sheets>
  <definedNames>
    <definedName name="_xlnm._FilterDatabase" localSheetId="8" hidden="1">'age-specific-fertility-rates'!$B$1:$B$145</definedName>
    <definedName name="_xlnm._FilterDatabase" localSheetId="4" hidden="1">Analysis!$A$1:$A$24</definedName>
    <definedName name="_xlnm._FilterDatabase" localSheetId="7" hidden="1">'births-by-mothers-age'!$B$1:$B$163</definedName>
    <definedName name="_xlnm._FilterDatabase" localSheetId="5" hidden="1">'births-deaths-by-region'!$A$1:$D$649</definedName>
    <definedName name="_xlnm._FilterDatabase" localSheetId="6" hidden="1">'births-deaths-natural-increase'!$A$1:$B$70</definedName>
    <definedName name="_xlcn.WorksheetConnection_General.xlsxTable31" hidden="1">Table3</definedName>
    <definedName name="_xlcn.WorksheetConnection_General.xlsxTable61" hidden="1">Table6[]</definedName>
    <definedName name="_xlcn.WorksheetConnection_General.xlsxTable71" hidden="1">Table7[]</definedName>
    <definedName name="_xlnm.Print_Area" localSheetId="0">DASHBOARD!#REF!</definedName>
  </definedNames>
  <calcPr calcId="191028"/>
  <pivotCaches>
    <pivotCache cacheId="0" r:id="rId10"/>
    <pivotCache cacheId="1" r:id="rId11"/>
    <pivotCache cacheId="2" r:id="rId12"/>
    <pivotCache cacheId="3" r:id="rId13"/>
  </pivotCaches>
  <extLst>
    <ext xmlns:x15="http://schemas.microsoft.com/office/spreadsheetml/2010/11/main" uri="{FCE2AD5D-F65C-4FA6-A056-5C36A1767C68}">
      <x15:dataModel>
        <x15:modelTables>
          <x15:modelTable id="Table7" name="Table7" connection="WorksheetConnection_General.xlsx!Table7"/>
          <x15:modelTable id="Table6" name="Table6" connection="WorksheetConnection_General.xlsx!Table6"/>
          <x15:modelTable id="Table3" name="Table3" connection="WorksheetConnection_General.xlsx!Table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F8" i="2"/>
  <c r="F7" i="2"/>
  <c r="F6" i="2"/>
  <c r="F5" i="2"/>
  <c r="F3" i="2"/>
  <c r="F4" i="2"/>
  <c r="A1" i="5" a="1"/>
  <c r="A1" i="5"/>
  <c r="D162" i="2"/>
  <c r="D161" i="2"/>
  <c r="D160" i="2"/>
  <c r="D159" i="2"/>
  <c r="D158" i="2"/>
  <c r="D157" i="2"/>
  <c r="D156" i="2"/>
  <c r="D155" i="2"/>
  <c r="D153" i="2"/>
  <c r="D152" i="2"/>
  <c r="D151" i="2"/>
  <c r="D150" i="2"/>
  <c r="D149" i="2"/>
  <c r="D148" i="2"/>
  <c r="D147" i="2"/>
  <c r="D146" i="2"/>
  <c r="D144" i="2"/>
  <c r="D143" i="2"/>
  <c r="D142" i="2"/>
  <c r="D141" i="2"/>
  <c r="D140" i="2"/>
  <c r="D139" i="2"/>
  <c r="D138" i="2"/>
  <c r="D137" i="2"/>
  <c r="D135" i="2"/>
  <c r="D134" i="2"/>
  <c r="D133" i="2"/>
  <c r="D132" i="2"/>
  <c r="D131" i="2"/>
  <c r="D130" i="2"/>
  <c r="D129" i="2"/>
  <c r="D128" i="2"/>
  <c r="D126" i="2"/>
  <c r="D125" i="2"/>
  <c r="D124" i="2"/>
  <c r="D123" i="2"/>
  <c r="D122" i="2"/>
  <c r="D121" i="2"/>
  <c r="D120" i="2"/>
  <c r="D119" i="2"/>
  <c r="D117" i="2"/>
  <c r="D116" i="2"/>
  <c r="D115" i="2"/>
  <c r="D114" i="2"/>
  <c r="D113" i="2"/>
  <c r="D112" i="2"/>
  <c r="D111" i="2"/>
  <c r="D110" i="2"/>
  <c r="D108" i="2"/>
  <c r="D107" i="2"/>
  <c r="D106" i="2"/>
  <c r="D105" i="2"/>
  <c r="D104" i="2"/>
  <c r="D103" i="2"/>
  <c r="D102" i="2"/>
  <c r="D101" i="2"/>
  <c r="D99" i="2"/>
  <c r="D98" i="2"/>
  <c r="D97" i="2"/>
  <c r="D96" i="2"/>
  <c r="D95" i="2"/>
  <c r="D94" i="2"/>
  <c r="D93" i="2"/>
  <c r="D92" i="2"/>
  <c r="D90" i="2"/>
  <c r="D89" i="2"/>
  <c r="D88" i="2"/>
  <c r="D87" i="2"/>
  <c r="D86" i="2"/>
  <c r="D85" i="2"/>
  <c r="D84" i="2"/>
  <c r="D83" i="2"/>
  <c r="D81" i="2"/>
  <c r="D80" i="2"/>
  <c r="D79" i="2"/>
  <c r="D78" i="2"/>
  <c r="D77" i="2"/>
  <c r="D76" i="2"/>
  <c r="D75" i="2"/>
  <c r="D74" i="2"/>
  <c r="D72" i="2"/>
  <c r="D71" i="2"/>
  <c r="D70" i="2"/>
  <c r="D69" i="2"/>
  <c r="D68" i="2"/>
  <c r="D67" i="2"/>
  <c r="D66" i="2"/>
  <c r="D65" i="2"/>
  <c r="D63" i="2"/>
  <c r="D62" i="2"/>
  <c r="D61" i="2"/>
  <c r="D60" i="2"/>
  <c r="D59" i="2"/>
  <c r="D58" i="2"/>
  <c r="D57" i="2"/>
  <c r="D56" i="2"/>
  <c r="D54" i="2"/>
  <c r="D53" i="2"/>
  <c r="D52" i="2"/>
  <c r="D51" i="2"/>
  <c r="D50" i="2"/>
  <c r="D49" i="2"/>
  <c r="D48" i="2"/>
  <c r="D47" i="2"/>
  <c r="D45" i="2"/>
  <c r="D44" i="2"/>
  <c r="D43" i="2"/>
  <c r="D42" i="2"/>
  <c r="D41" i="2"/>
  <c r="D40" i="2"/>
  <c r="D39" i="2"/>
  <c r="D38" i="2"/>
  <c r="D36" i="2"/>
  <c r="D35" i="2"/>
  <c r="D34" i="2"/>
  <c r="D33" i="2"/>
  <c r="D32" i="2"/>
  <c r="D31" i="2"/>
  <c r="D30" i="2"/>
  <c r="D29" i="2"/>
  <c r="D27" i="2"/>
  <c r="D26" i="2"/>
  <c r="D25" i="2"/>
  <c r="D24" i="2"/>
  <c r="D23" i="2"/>
  <c r="D22" i="2"/>
  <c r="D21" i="2"/>
  <c r="D20" i="2"/>
  <c r="D18" i="2"/>
  <c r="D17" i="2"/>
  <c r="D16" i="2"/>
  <c r="D15" i="2"/>
  <c r="D14" i="2"/>
  <c r="D13" i="2"/>
  <c r="D12" i="2"/>
  <c r="D11" i="2"/>
  <c r="D9" i="2"/>
  <c r="D8" i="2"/>
  <c r="D7" i="2"/>
  <c r="D6" i="2"/>
  <c r="D5" i="2"/>
  <c r="D4" i="2"/>
  <c r="D3" i="2"/>
  <c r="B9" i="5"/>
  <c r="B8" i="5"/>
  <c r="B18" i="5"/>
  <c r="C24" i="5"/>
  <c r="I24" i="5"/>
  <c r="J24" i="5"/>
  <c r="C23" i="5"/>
  <c r="C22" i="5"/>
  <c r="I22" i="5"/>
  <c r="J22" i="5"/>
  <c r="C21" i="5"/>
  <c r="I21" i="5"/>
  <c r="J21" i="5"/>
  <c r="C20" i="5"/>
  <c r="C18" i="5"/>
  <c r="L18" i="5"/>
  <c r="M18" i="5"/>
  <c r="C19" i="5"/>
  <c r="C17" i="5"/>
  <c r="L17" i="5"/>
  <c r="M17" i="5"/>
  <c r="C16" i="5"/>
  <c r="L16" i="5"/>
  <c r="M16" i="5"/>
  <c r="C15" i="5"/>
  <c r="C14" i="5"/>
  <c r="F14" i="5"/>
  <c r="G14" i="5"/>
  <c r="H14" i="5"/>
  <c r="C13" i="5"/>
  <c r="L13" i="5"/>
  <c r="M13" i="5"/>
  <c r="C12" i="5"/>
  <c r="L12" i="5"/>
  <c r="M12" i="5"/>
  <c r="C11" i="5"/>
  <c r="F11" i="5"/>
  <c r="G11" i="5"/>
  <c r="H11" i="5"/>
  <c r="C10" i="5"/>
  <c r="F10" i="5"/>
  <c r="G10" i="5"/>
  <c r="H10" i="5"/>
  <c r="C9" i="5"/>
  <c r="C8" i="5"/>
  <c r="D2" i="2"/>
  <c r="C7" i="5"/>
  <c r="L7" i="5"/>
  <c r="M7" i="5"/>
  <c r="B24" i="5"/>
  <c r="B23" i="5"/>
  <c r="B22" i="5"/>
  <c r="B21" i="5"/>
  <c r="B20" i="5"/>
  <c r="B19" i="5"/>
  <c r="B17" i="5"/>
  <c r="B16" i="5"/>
  <c r="B15" i="5"/>
  <c r="B14" i="5"/>
  <c r="B13" i="5"/>
  <c r="B12" i="5"/>
  <c r="B11" i="5"/>
  <c r="B10" i="5"/>
  <c r="B7" i="5"/>
  <c r="N13" i="5"/>
  <c r="N12" i="5"/>
  <c r="N18" i="5"/>
  <c r="N7" i="5"/>
  <c r="N17" i="5"/>
  <c r="N16" i="5"/>
  <c r="K22" i="5"/>
  <c r="K21" i="5"/>
  <c r="K24" i="5"/>
  <c r="AA17" i="5"/>
  <c r="F7" i="5"/>
  <c r="G7" i="5"/>
  <c r="H7" i="5"/>
  <c r="D8" i="5"/>
  <c r="AC10" i="5"/>
  <c r="AA12" i="5"/>
  <c r="AA16" i="5"/>
  <c r="D12" i="5"/>
  <c r="U12" i="5"/>
  <c r="D13" i="5"/>
  <c r="F13" i="5"/>
  <c r="G13" i="5"/>
  <c r="H13" i="5"/>
  <c r="D14" i="5"/>
  <c r="L8" i="5"/>
  <c r="L21" i="5"/>
  <c r="M21" i="5"/>
  <c r="N21" i="5"/>
  <c r="I13" i="5"/>
  <c r="F22" i="5"/>
  <c r="G22" i="5"/>
  <c r="H22" i="5"/>
  <c r="L24" i="5"/>
  <c r="M24" i="5"/>
  <c r="N24" i="5"/>
  <c r="F16" i="5"/>
  <c r="G16" i="5"/>
  <c r="H16" i="5"/>
  <c r="D19" i="5"/>
  <c r="I16" i="5"/>
  <c r="F8" i="5"/>
  <c r="G8" i="5"/>
  <c r="H8" i="5"/>
  <c r="U7" i="5"/>
  <c r="I8" i="5"/>
  <c r="J8" i="5"/>
  <c r="K8" i="5"/>
  <c r="D20" i="5"/>
  <c r="D10" i="5"/>
  <c r="D21" i="5"/>
  <c r="F9" i="5"/>
  <c r="L11" i="5"/>
  <c r="M11" i="5"/>
  <c r="N11" i="5"/>
  <c r="I14" i="5"/>
  <c r="J14" i="5"/>
  <c r="K14" i="5"/>
  <c r="F17" i="5"/>
  <c r="G17" i="5"/>
  <c r="H17" i="5"/>
  <c r="L19" i="5"/>
  <c r="I11" i="5"/>
  <c r="J11" i="5"/>
  <c r="K11" i="5"/>
  <c r="D22" i="5"/>
  <c r="I9" i="5"/>
  <c r="J9" i="5"/>
  <c r="K9" i="5"/>
  <c r="F12" i="5"/>
  <c r="L14" i="5"/>
  <c r="I17" i="5"/>
  <c r="F20" i="5"/>
  <c r="G20" i="5"/>
  <c r="H20" i="5"/>
  <c r="L22" i="5"/>
  <c r="M22" i="5"/>
  <c r="N22" i="5"/>
  <c r="I19" i="5"/>
  <c r="J19" i="5"/>
  <c r="K19" i="5"/>
  <c r="D15" i="5"/>
  <c r="D23" i="5"/>
  <c r="I7" i="5"/>
  <c r="L9" i="5"/>
  <c r="M9" i="5"/>
  <c r="N9" i="5"/>
  <c r="I12" i="5"/>
  <c r="F15" i="5"/>
  <c r="I20" i="5"/>
  <c r="J20" i="5"/>
  <c r="K20" i="5"/>
  <c r="F23" i="5"/>
  <c r="G23" i="5"/>
  <c r="H23" i="5"/>
  <c r="D11" i="5"/>
  <c r="D7" i="5"/>
  <c r="D16" i="5"/>
  <c r="D24" i="5"/>
  <c r="L10" i="5"/>
  <c r="M10" i="5"/>
  <c r="N10" i="5"/>
  <c r="I15" i="5"/>
  <c r="J15" i="5"/>
  <c r="K15" i="5"/>
  <c r="F18" i="5"/>
  <c r="G18" i="5"/>
  <c r="H18" i="5"/>
  <c r="L20" i="5"/>
  <c r="M20" i="5"/>
  <c r="N20" i="5"/>
  <c r="I23" i="5"/>
  <c r="J23" i="5"/>
  <c r="K23" i="5"/>
  <c r="D17" i="5"/>
  <c r="I10" i="5"/>
  <c r="J10" i="5"/>
  <c r="K10" i="5"/>
  <c r="L15" i="5"/>
  <c r="I18" i="5"/>
  <c r="F21" i="5"/>
  <c r="L23" i="5"/>
  <c r="F24" i="5"/>
  <c r="G24" i="5"/>
  <c r="H24" i="5"/>
  <c r="D9" i="5"/>
  <c r="F19" i="5"/>
  <c r="G19" i="5"/>
  <c r="H19" i="5"/>
  <c r="D18" i="5"/>
  <c r="AA7" i="5"/>
  <c r="M8" i="5"/>
  <c r="N8" i="5"/>
  <c r="AA13" i="5"/>
  <c r="M14" i="5"/>
  <c r="N14" i="5"/>
  <c r="AA22" i="5"/>
  <c r="M23" i="5"/>
  <c r="N23" i="5"/>
  <c r="AA18" i="5"/>
  <c r="M19" i="5"/>
  <c r="N19" i="5"/>
  <c r="AA14" i="5"/>
  <c r="M15" i="5"/>
  <c r="N15" i="5"/>
  <c r="P13" i="5"/>
  <c r="J13" i="5"/>
  <c r="K13" i="5"/>
  <c r="P18" i="5"/>
  <c r="J18" i="5"/>
  <c r="K18" i="5"/>
  <c r="P16" i="5"/>
  <c r="J16" i="5"/>
  <c r="K16" i="5"/>
  <c r="P7" i="5"/>
  <c r="J7" i="5"/>
  <c r="K7" i="5"/>
  <c r="P12" i="5"/>
  <c r="J12" i="5"/>
  <c r="K12" i="5"/>
  <c r="P17" i="5"/>
  <c r="J17" i="5"/>
  <c r="K17" i="5"/>
  <c r="AC20" i="5"/>
  <c r="G21" i="5"/>
  <c r="H21" i="5"/>
  <c r="AC14" i="5"/>
  <c r="G15" i="5"/>
  <c r="H15" i="5"/>
  <c r="AC11" i="5"/>
  <c r="G12" i="5"/>
  <c r="H12" i="5"/>
  <c r="AC9" i="5"/>
  <c r="G9" i="5"/>
  <c r="H9" i="5"/>
  <c r="AA9" i="5"/>
  <c r="AA8" i="5"/>
  <c r="AC16" i="5"/>
  <c r="AC7" i="5"/>
  <c r="AC19" i="5"/>
  <c r="AC21" i="5"/>
  <c r="P21" i="5"/>
  <c r="AA20" i="5"/>
  <c r="AC8" i="5"/>
  <c r="AA15" i="5"/>
  <c r="U15" i="5"/>
  <c r="AA10" i="5"/>
  <c r="AC18" i="5"/>
  <c r="P23" i="5"/>
  <c r="X7" i="5"/>
  <c r="X17" i="5"/>
  <c r="U19" i="5"/>
  <c r="X18" i="5"/>
  <c r="AC12" i="5"/>
  <c r="AC13" i="5"/>
  <c r="AC23" i="5"/>
  <c r="AC24" i="5"/>
  <c r="AA19" i="5"/>
  <c r="AC22" i="5"/>
  <c r="AC15" i="5"/>
  <c r="AA11" i="5"/>
  <c r="AC17" i="5"/>
  <c r="P22" i="5"/>
  <c r="AA21" i="5"/>
  <c r="AA23" i="5"/>
  <c r="AA24" i="5"/>
  <c r="U16" i="5"/>
  <c r="P15" i="5"/>
  <c r="P11" i="5"/>
  <c r="P8" i="5"/>
  <c r="P20" i="5"/>
  <c r="X8" i="5"/>
  <c r="X13" i="5"/>
  <c r="P19" i="5"/>
  <c r="U8" i="5"/>
  <c r="U13" i="5"/>
  <c r="P14" i="5"/>
  <c r="X12" i="5"/>
  <c r="P10" i="5"/>
  <c r="P9" i="5"/>
  <c r="P24" i="5"/>
  <c r="X9" i="5"/>
  <c r="X11" i="5"/>
  <c r="X14" i="5"/>
  <c r="X15" i="5"/>
  <c r="U10" i="5"/>
  <c r="U9" i="5"/>
  <c r="U11" i="5"/>
  <c r="X1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General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General.xlsxTable31"/>
        </x15:connection>
      </ext>
    </extLst>
  </connection>
  <connection id="3" xr16:uid="{00000000-0015-0000-FFFF-FFFF02000000}" name="WorksheetConnection_General.xlsx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General.xlsxTable61"/>
        </x15:connection>
      </ext>
    </extLst>
  </connection>
  <connection id="4" xr16:uid="{00000000-0015-0000-FFFF-FFFF03000000}" name="WorksheetConnection_General.xlsx!Table7" type="102" refreshedVersion="8" minRefreshableVersion="5">
    <extLst>
      <ext xmlns:x15="http://schemas.microsoft.com/office/spreadsheetml/2010/11/main" uri="{DE250136-89BD-433C-8126-D09CA5730AF9}">
        <x15:connection id="Table7" autoDelete="1">
          <x15:rangePr sourceName="_xlcn.WorksheetConnection_General.xlsxTable7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<sst xmlns="http://schemas.openxmlformats.org/spreadsheetml/2006/main" count="1800" uniqueCount="96">
  <si>
    <t>Period</t>
  </si>
  <si>
    <t>Births_Deaths_or_Natural_Increase</t>
  </si>
  <si>
    <t>Count</t>
  </si>
  <si>
    <t>Births</t>
  </si>
  <si>
    <t>Deaths</t>
  </si>
  <si>
    <t>Natural_Increase</t>
  </si>
  <si>
    <t>Mothers_Age</t>
  </si>
  <si>
    <t>Under 15</t>
  </si>
  <si>
    <t>15–19</t>
  </si>
  <si>
    <t>20–24</t>
  </si>
  <si>
    <t>25–29</t>
  </si>
  <si>
    <t>30–34</t>
  </si>
  <si>
    <t>35–39</t>
  </si>
  <si>
    <t>40–44</t>
  </si>
  <si>
    <t>45 and over</t>
  </si>
  <si>
    <t>Total</t>
  </si>
  <si>
    <t>Age_specific_birth_rate</t>
  </si>
  <si>
    <t>Birth_Death</t>
  </si>
  <si>
    <t>Region</t>
  </si>
  <si>
    <t>Northland region</t>
  </si>
  <si>
    <t>Auckland region</t>
  </si>
  <si>
    <t>Waikato region</t>
  </si>
  <si>
    <t>Bay of Plenty region</t>
  </si>
  <si>
    <t>Gisborne region</t>
  </si>
  <si>
    <t>Hawke's Bay region</t>
  </si>
  <si>
    <t>Taranaki region</t>
  </si>
  <si>
    <t>Manawatu-Wanganui region</t>
  </si>
  <si>
    <t>Wellington region</t>
  </si>
  <si>
    <t>Tasman region</t>
  </si>
  <si>
    <t>Nelson region</t>
  </si>
  <si>
    <t>Marlborough region</t>
  </si>
  <si>
    <t>West Coast region</t>
  </si>
  <si>
    <t>Canterbury region</t>
  </si>
  <si>
    <t>Otago region</t>
  </si>
  <si>
    <t>Southland region</t>
  </si>
  <si>
    <t>Region not stated or
area outside region</t>
  </si>
  <si>
    <t>New Zealand</t>
  </si>
  <si>
    <t>N/A</t>
  </si>
  <si>
    <t>Total mothers per year</t>
  </si>
  <si>
    <t>% of mothers &lt; 20 years</t>
  </si>
  <si>
    <t>% of mothers between 20 &amp; 39 years</t>
  </si>
  <si>
    <t>% of mothers &gt; 40 years</t>
  </si>
  <si>
    <t>Total Valid Birth Count</t>
  </si>
  <si>
    <t>% of mothers =/&gt; 20</t>
  </si>
  <si>
    <t xml:space="preserve">Aging Maternal Metrics </t>
  </si>
  <si>
    <t>Mothers &gt; 40 2022 (%)</t>
  </si>
  <si>
    <t>Mothers &gt; 40 2005 (%)</t>
  </si>
  <si>
    <t>Absolute Change (% point)</t>
  </si>
  <si>
    <t>Relative change (%)</t>
  </si>
  <si>
    <t>Average annual change(% point)</t>
  </si>
  <si>
    <t>Actual Birth to Mother &gt; 40 in 2005</t>
  </si>
  <si>
    <t>Actual Birth to Mother &gt; 40 in 2022</t>
  </si>
  <si>
    <t>Teen Pregnancy Metrics</t>
  </si>
  <si>
    <t>Teen Mother in 2005 (%)</t>
  </si>
  <si>
    <t>Teen Mother in 2022 (%)</t>
  </si>
  <si>
    <t>Absolute Decline (% point)</t>
  </si>
  <si>
    <t>Relative Decline(%)</t>
  </si>
  <si>
    <t>Average Annual Decline (% point)</t>
  </si>
  <si>
    <t>Actual Teen Birth in 2005</t>
  </si>
  <si>
    <t xml:space="preserve">Reduction in  Teen Birth </t>
  </si>
  <si>
    <t>% Reduction actual Teen Birth</t>
  </si>
  <si>
    <t>Y-o-Y change</t>
  </si>
  <si>
    <t>YoY change - Mothers &gt; 40</t>
  </si>
  <si>
    <t>YoY change - Teen Mothers</t>
  </si>
  <si>
    <t>Year with largest increase in mothers &gt; 40</t>
  </si>
  <si>
    <t>Year with the largest decrease in teen mothers</t>
  </si>
  <si>
    <t>Year with the highest number of teen mothers</t>
  </si>
  <si>
    <t>Year with lowest number of mothers &gt; 40</t>
  </si>
  <si>
    <t>Mothers with 2+ births per year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</si>
  <si>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</si>
  <si>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</si>
  <si>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</si>
  <si>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</si>
  <si>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</si>
  <si>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</si>
  <si>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</si>
  <si>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</si>
  <si>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</si>
  <si>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</si>
  <si>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Row Labels</t>
  </si>
  <si>
    <t>Grand Total</t>
  </si>
  <si>
    <t xml:space="preserve"> </t>
  </si>
  <si>
    <t>Sum of Total Valid Birth Count</t>
  </si>
  <si>
    <t>Total_number of Mothers &lt;20 years</t>
  </si>
  <si>
    <t>% of mother &lt; 20 / 100</t>
  </si>
  <si>
    <t>% of mothers (20-39)/100</t>
  </si>
  <si>
    <t>Total_number of Mothers 20-39 years</t>
  </si>
  <si>
    <t>% of mother &gt; 40 / 100</t>
  </si>
  <si>
    <t>Total_number of Mothers &gt;40 years</t>
  </si>
  <si>
    <t>Sum of Total_number of Mothers &lt;20 years</t>
  </si>
  <si>
    <t>Average of Total_number of Mothers &lt;20 years</t>
  </si>
  <si>
    <t>Average of Total_number of Mothers &gt;40 years</t>
  </si>
  <si>
    <t>Sum of Total mothers per year</t>
  </si>
  <si>
    <t>Medain Age of mother</t>
  </si>
  <si>
    <t xml:space="preserve">Avg Age </t>
  </si>
  <si>
    <t>Median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</si>
</sst>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Protection="1"/>
    <xf numFmtId="0" fontId="16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5" formatCode="0.000"/>
    </dxf>
    <dxf>
      <numFmt numFmtId="164" formatCode="0.0"/>
    </dxf>
    <dxf>
      <numFmt numFmtId="1" formatCode="0"/>
    </dxf>
    <dxf>
      <numFmt numFmtId="165" formatCode="0.000"/>
    </dxf>
    <dxf>
      <numFmt numFmtId="164" formatCode="0.0"/>
    </dxf>
    <dxf>
      <numFmt numFmtId="1" formatCode="0"/>
    </dxf>
    <dxf>
      <numFmt numFmtId="165" formatCode="0.000"/>
    </dxf>
    <dxf>
      <numFmt numFmtId="164" formatCode="0.0"/>
    </dxf>
    <dxf>
      <numFmt numFmtId="0" formatCode="General"/>
    </dxf>
  </dxfs>
  <tableStyles count="0" defaultTableStyle="TableStyleMedium2" defaultPivotStyle="PivotStyleLight16"/>
  <colors>
    <mruColors>
      <color rgb="FF004F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pivotCacheDefinition" Target="pivotCache/pivotCacheDefinition4.xml" /><Relationship Id="rId18" Type="http://schemas.openxmlformats.org/officeDocument/2006/relationships/sheetMetadata" Target="metadata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pivotCacheDefinition" Target="pivotCache/pivotCacheDefinition3.xml" /><Relationship Id="rId1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styles" Target="styles.xml" /><Relationship Id="rId20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pivotCacheDefinition" Target="pivotCache/pivotCacheDefinition2.xml" /><Relationship Id="rId5" Type="http://schemas.openxmlformats.org/officeDocument/2006/relationships/worksheet" Target="worksheets/sheet5.xml" /><Relationship Id="rId15" Type="http://schemas.openxmlformats.org/officeDocument/2006/relationships/connections" Target="connections.xml" /><Relationship Id="rId10" Type="http://schemas.openxmlformats.org/officeDocument/2006/relationships/pivotCacheDefinition" Target="pivotCache/pivotCacheDefinition1.xml" /><Relationship Id="rId19" Type="http://schemas.openxmlformats.org/officeDocument/2006/relationships/powerPivotData" Target="model/item.data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 /><Relationship Id="rId1" Type="http://schemas.microsoft.com/office/2011/relationships/chartStyle" Target="style8.xml" 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 /><Relationship Id="rId1" Type="http://schemas.microsoft.com/office/2011/relationships/chartStyle" Target="style9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[General.xlsx]Sheet8!PivotTable7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6.3591524101062596E-3"/>
              <c:y val="-4.313672461453842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5897881025265615E-2"/>
              <c:y val="4.705878865490376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6.3591524101062457E-3"/>
              <c:y val="-4.313672461453842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907745723031873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2718304820212491E-2"/>
              <c:y val="-4.705878865490462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FDA9-4D81-B2E6-C2EE6CECE01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FDA9-4D81-B2E6-C2EE6CECE01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FDA9-4D81-B2E6-C2EE6CECE01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FDA9-4D81-B2E6-C2EE6CECE01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FDA9-4D81-B2E6-C2EE6CECE013}"/>
              </c:ext>
            </c:extLst>
          </c:dPt>
          <c:dLbls>
            <c:dLbl>
              <c:idx val="0"/>
              <c:layout>
                <c:manualLayout>
                  <c:x val="6.3591524101062596E-3"/>
                  <c:y val="-4.313672461453842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A9-4D81-B2E6-C2EE6CECE013}"/>
                </c:ext>
              </c:extLst>
            </c:dLbl>
            <c:dLbl>
              <c:idx val="1"/>
              <c:layout>
                <c:manualLayout>
                  <c:x val="1.5897881025265615E-2"/>
                  <c:y val="4.705878865490376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A9-4D81-B2E6-C2EE6CECE013}"/>
                </c:ext>
              </c:extLst>
            </c:dLbl>
            <c:dLbl>
              <c:idx val="2"/>
              <c:layout>
                <c:manualLayout>
                  <c:x val="6.3591524101062457E-3"/>
                  <c:y val="-4.313672461453842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A9-4D81-B2E6-C2EE6CECE013}"/>
                </c:ext>
              </c:extLst>
            </c:dLbl>
            <c:dLbl>
              <c:idx val="3"/>
              <c:layout>
                <c:manualLayout>
                  <c:x val="1.2718304820212491E-2"/>
                  <c:y val="-4.70587886549046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DA9-4D81-B2E6-C2EE6CECE013}"/>
                </c:ext>
              </c:extLst>
            </c:dLbl>
            <c:dLbl>
              <c:idx val="4"/>
              <c:layout>
                <c:manualLayout>
                  <c:x val="1.907745723031873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A9-4D81-B2E6-C2EE6CECE0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Sheet8!$A$4:$A$9</c:f>
              <c:strCache>
                <c:ptCount val="5"/>
                <c:pt idx="0">
                  <c:v>2008</c:v>
                </c:pt>
                <c:pt idx="1">
                  <c:v>2007</c:v>
                </c:pt>
                <c:pt idx="2">
                  <c:v>2009</c:v>
                </c:pt>
                <c:pt idx="3">
                  <c:v>2010</c:v>
                </c:pt>
                <c:pt idx="4">
                  <c:v>2006</c:v>
                </c:pt>
              </c:strCache>
            </c:strRef>
          </c:cat>
          <c:val>
            <c:numRef>
              <c:f>Sheet8!$B$4:$B$9</c:f>
              <c:numCache>
                <c:formatCode>General</c:formatCode>
                <c:ptCount val="5"/>
                <c:pt idx="0">
                  <c:v>5223</c:v>
                </c:pt>
                <c:pt idx="1">
                  <c:v>4953</c:v>
                </c:pt>
                <c:pt idx="2">
                  <c:v>4671</c:v>
                </c:pt>
                <c:pt idx="3">
                  <c:v>4551</c:v>
                </c:pt>
                <c:pt idx="4">
                  <c:v>4374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9-4D81-B2E6-C2EE6CECE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7880479"/>
        <c:axId val="1317880959"/>
        <c:axId val="1148176815"/>
      </c:bar3DChart>
      <c:catAx>
        <c:axId val="1317880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880959"/>
        <c:crosses val="autoZero"/>
        <c:auto val="1"/>
        <c:lblAlgn val="ctr"/>
        <c:lblOffset val="100"/>
        <c:noMultiLvlLbl val="0"/>
      </c:catAx>
      <c:valAx>
        <c:axId val="13178809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17880479"/>
        <c:crosses val="autoZero"/>
        <c:crossBetween val="between"/>
      </c:valAx>
      <c:serAx>
        <c:axId val="1148176815"/>
        <c:scaling>
          <c:orientation val="minMax"/>
        </c:scaling>
        <c:delete val="1"/>
        <c:axPos val="b"/>
        <c:majorTickMark val="out"/>
        <c:minorTickMark val="none"/>
        <c:tickLblPos val="nextTo"/>
        <c:crossAx val="1317880959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[General.xlsx]Sheet8!PivotTable8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5899584732893119E-2"/>
              <c:y val="-0.189999964798524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9.5397508397359419E-3"/>
              <c:y val="-0.2794117129390064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5899584732893237E-2"/>
              <c:y val="-0.195588199057304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2719667786314531E-2"/>
              <c:y val="-0.36323522682070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9079501679471884E-2"/>
              <c:y val="-0.407941100890949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Sheet8!$J$6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A89D-44A7-B8BF-6441E2E2AFE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A89D-44A7-B8BF-6441E2E2AFE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A89D-44A7-B8BF-6441E2E2AFE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A89D-44A7-B8BF-6441E2E2AFE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A89D-44A7-B8BF-6441E2E2AFEF}"/>
              </c:ext>
            </c:extLst>
          </c:dPt>
          <c:dLbls>
            <c:dLbl>
              <c:idx val="0"/>
              <c:layout>
                <c:manualLayout>
                  <c:x val="1.9079501679471884E-2"/>
                  <c:y val="-0.4079411008909494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9D-44A7-B8BF-6441E2E2AFEF}"/>
                </c:ext>
              </c:extLst>
            </c:dLbl>
            <c:dLbl>
              <c:idx val="1"/>
              <c:layout>
                <c:manualLayout>
                  <c:x val="1.2719667786314531E-2"/>
                  <c:y val="-0.36323522682070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9D-44A7-B8BF-6441E2E2AFEF}"/>
                </c:ext>
              </c:extLst>
            </c:dLbl>
            <c:dLbl>
              <c:idx val="2"/>
              <c:layout>
                <c:manualLayout>
                  <c:x val="9.5397508397359419E-3"/>
                  <c:y val="-0.279411712939006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89D-44A7-B8BF-6441E2E2AFEF}"/>
                </c:ext>
              </c:extLst>
            </c:dLbl>
            <c:dLbl>
              <c:idx val="3"/>
              <c:layout>
                <c:manualLayout>
                  <c:x val="1.5899584732893237E-2"/>
                  <c:y val="-0.19558819905730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9D-44A7-B8BF-6441E2E2AFEF}"/>
                </c:ext>
              </c:extLst>
            </c:dLbl>
            <c:dLbl>
              <c:idx val="4"/>
              <c:layout>
                <c:manualLayout>
                  <c:x val="1.5899584732893119E-2"/>
                  <c:y val="-0.1899999647985243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9D-44A7-B8BF-6441E2E2A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Sheet8!$I$7:$I$12</c:f>
              <c:strCache>
                <c:ptCount val="5"/>
                <c:pt idx="0">
                  <c:v>2012</c:v>
                </c:pt>
                <c:pt idx="1">
                  <c:v>2010</c:v>
                </c:pt>
                <c:pt idx="2">
                  <c:v>2013</c:v>
                </c:pt>
                <c:pt idx="3">
                  <c:v>2011</c:v>
                </c:pt>
                <c:pt idx="4">
                  <c:v>2015</c:v>
                </c:pt>
              </c:strCache>
            </c:strRef>
          </c:cat>
          <c:val>
            <c:numRef>
              <c:f>Sheet8!$J$7:$J$12</c:f>
              <c:numCache>
                <c:formatCode>General</c:formatCode>
                <c:ptCount val="5"/>
                <c:pt idx="0">
                  <c:v>2634</c:v>
                </c:pt>
                <c:pt idx="1">
                  <c:v>2622</c:v>
                </c:pt>
                <c:pt idx="2">
                  <c:v>2583</c:v>
                </c:pt>
                <c:pt idx="3">
                  <c:v>2544</c:v>
                </c:pt>
                <c:pt idx="4">
                  <c:v>2541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D-44A7-B8BF-6441E2E2AF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2768751"/>
        <c:axId val="502762991"/>
        <c:axId val="0"/>
      </c:bar3DChart>
      <c:catAx>
        <c:axId val="502768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762991"/>
        <c:crosses val="autoZero"/>
        <c:auto val="1"/>
        <c:lblAlgn val="ctr"/>
        <c:lblOffset val="100"/>
        <c:noMultiLvlLbl val="0"/>
      </c:catAx>
      <c:valAx>
        <c:axId val="50276299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0276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[General.xlsx]Sheet10!PivotTable12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0.4393062784022068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0.34219646949224541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0.30982653318892484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0.2242774158158635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0.16878609643874268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895953412051629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8670515011512437"/>
              <c:y val="-6.28272147706287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4046242037915063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3930635122546059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4277455868653066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72F-4DE0-8A48-AA483D42499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72F-4DE0-8A48-AA483D42499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72F-4DE0-8A48-AA483D42499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72F-4DE0-8A48-AA483D424999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72F-4DE0-8A48-AA483D424999}"/>
              </c:ext>
            </c:extLst>
          </c:dPt>
          <c:dLbls>
            <c:dLbl>
              <c:idx val="0"/>
              <c:layout>
                <c:manualLayout>
                  <c:x val="0.42774558686530667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2F-4DE0-8A48-AA483D424999}"/>
                </c:ext>
              </c:extLst>
            </c:dLbl>
            <c:dLbl>
              <c:idx val="1"/>
              <c:layout>
                <c:manualLayout>
                  <c:x val="0.4046242037915063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2F-4DE0-8A48-AA483D424999}"/>
                </c:ext>
              </c:extLst>
            </c:dLbl>
            <c:dLbl>
              <c:idx val="2"/>
              <c:layout>
                <c:manualLayout>
                  <c:x val="0.39306351225460595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2F-4DE0-8A48-AA483D424999}"/>
                </c:ext>
              </c:extLst>
            </c:dLbl>
            <c:dLbl>
              <c:idx val="3"/>
              <c:layout>
                <c:manualLayout>
                  <c:x val="0.28670515011512437"/>
                  <c:y val="-6.282721477062872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2F-4DE0-8A48-AA483D424999}"/>
                </c:ext>
              </c:extLst>
            </c:dLbl>
            <c:dLbl>
              <c:idx val="4"/>
              <c:layout>
                <c:manualLayout>
                  <c:x val="0.18959534120516294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2F-4DE0-8A48-AA483D424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Sheet10!$A$4:$A$9</c:f>
              <c:strCache>
                <c:ptCount val="5"/>
                <c:pt idx="0">
                  <c:v>2008</c:v>
                </c:pt>
                <c:pt idx="1">
                  <c:v>2007</c:v>
                </c:pt>
                <c:pt idx="2">
                  <c:v>2010</c:v>
                </c:pt>
                <c:pt idx="3">
                  <c:v>2009</c:v>
                </c:pt>
                <c:pt idx="4">
                  <c:v>2011</c:v>
                </c:pt>
              </c:strCache>
            </c:strRef>
          </c:cat>
          <c:val>
            <c:numRef>
              <c:f>Sheet10!$B$4:$B$9</c:f>
              <c:numCache>
                <c:formatCode>General</c:formatCode>
                <c:ptCount val="5"/>
                <c:pt idx="0">
                  <c:v>64341</c:v>
                </c:pt>
                <c:pt idx="1">
                  <c:v>64041</c:v>
                </c:pt>
                <c:pt idx="2">
                  <c:v>63894</c:v>
                </c:pt>
                <c:pt idx="3">
                  <c:v>62541</c:v>
                </c:pt>
                <c:pt idx="4">
                  <c:v>61404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F-4DE0-8A48-AA483D42499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74287167"/>
        <c:axId val="1474288127"/>
      </c:barChart>
      <c:catAx>
        <c:axId val="14742871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288127"/>
        <c:crosses val="autoZero"/>
        <c:auto val="1"/>
        <c:lblAlgn val="ctr"/>
        <c:lblOffset val="100"/>
        <c:noMultiLvlLbl val="0"/>
      </c:catAx>
      <c:valAx>
        <c:axId val="14742881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428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[General.xlsx]Sheet8!PivotTable14</c:name>
    <c:fmtId val="1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8.0899906365720184E-2"/>
          <c:y val="0.12755555555555556"/>
          <c:w val="0.30980750395959394"/>
          <c:h val="0.8343492063492064"/>
        </c:manualLayout>
      </c:layout>
      <c:doughnutChart>
        <c:varyColors val="1"/>
        <c:ser>
          <c:idx val="0"/>
          <c:order val="0"/>
          <c:tx>
            <c:strRef>
              <c:f>Sheet8!$K$17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93D-4455-994E-584F64909C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93D-4455-994E-584F64909C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93D-4455-994E-584F64909C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93D-4455-994E-584F64909C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93D-4455-994E-584F64909C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Sheet8!$J$18:$J$23</c:f>
              <c:strCache>
                <c:ptCount val="5"/>
                <c:pt idx="0">
                  <c:v>2008</c:v>
                </c:pt>
                <c:pt idx="1">
                  <c:v>2007</c:v>
                </c:pt>
                <c:pt idx="2">
                  <c:v>2010</c:v>
                </c:pt>
                <c:pt idx="3">
                  <c:v>2009</c:v>
                </c:pt>
                <c:pt idx="4">
                  <c:v>2011</c:v>
                </c:pt>
              </c:strCache>
            </c:strRef>
          </c:cat>
          <c:val>
            <c:numRef>
              <c:f>Sheet8!$K$18:$K$23</c:f>
              <c:numCache>
                <c:formatCode>General</c:formatCode>
                <c:ptCount val="5"/>
                <c:pt idx="0">
                  <c:v>64278</c:v>
                </c:pt>
                <c:pt idx="1">
                  <c:v>63873</c:v>
                </c:pt>
                <c:pt idx="2">
                  <c:v>63813</c:v>
                </c:pt>
                <c:pt idx="3">
                  <c:v>62457</c:v>
                </c:pt>
                <c:pt idx="4">
                  <c:v>61380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3D-4455-994E-584F64909CD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13151346707468"/>
          <c:y val="0.1745466816647919"/>
          <c:w val="0.14971720368388886"/>
          <c:h val="0.790588676415448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[General.xlsx]Sheet10!PivotTable12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Sheet10!$A$4:$A$9</c:f>
              <c:strCache>
                <c:ptCount val="5"/>
                <c:pt idx="0">
                  <c:v>2008</c:v>
                </c:pt>
                <c:pt idx="1">
                  <c:v>2007</c:v>
                </c:pt>
                <c:pt idx="2">
                  <c:v>2010</c:v>
                </c:pt>
                <c:pt idx="3">
                  <c:v>2009</c:v>
                </c:pt>
                <c:pt idx="4">
                  <c:v>2011</c:v>
                </c:pt>
              </c:strCache>
            </c:strRef>
          </c:cat>
          <c:val>
            <c:numRef>
              <c:f>Sheet10!$B$4:$B$9</c:f>
              <c:numCache>
                <c:formatCode>General</c:formatCode>
                <c:ptCount val="5"/>
                <c:pt idx="0">
                  <c:v>64341</c:v>
                </c:pt>
                <c:pt idx="1">
                  <c:v>64041</c:v>
                </c:pt>
                <c:pt idx="2">
                  <c:v>63894</c:v>
                </c:pt>
                <c:pt idx="3">
                  <c:v>62541</c:v>
                </c:pt>
                <c:pt idx="4">
                  <c:v>61404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D-4C95-9A55-B34940445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74287167"/>
        <c:axId val="1474288127"/>
        <c:axId val="0"/>
      </c:bar3DChart>
      <c:catAx>
        <c:axId val="1474287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288127"/>
        <c:crosses val="autoZero"/>
        <c:auto val="1"/>
        <c:lblAlgn val="ctr"/>
        <c:lblOffset val="100"/>
        <c:noMultiLvlLbl val="0"/>
      </c:catAx>
      <c:valAx>
        <c:axId val="147428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28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[General.xlsx]Sheet8!PivotTable7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Sheet8!$A$4:$A$9</c:f>
              <c:strCache>
                <c:ptCount val="5"/>
                <c:pt idx="0">
                  <c:v>2008</c:v>
                </c:pt>
                <c:pt idx="1">
                  <c:v>2007</c:v>
                </c:pt>
                <c:pt idx="2">
                  <c:v>2009</c:v>
                </c:pt>
                <c:pt idx="3">
                  <c:v>2010</c:v>
                </c:pt>
                <c:pt idx="4">
                  <c:v>2006</c:v>
                </c:pt>
              </c:strCache>
            </c:strRef>
          </c:cat>
          <c:val>
            <c:numRef>
              <c:f>Sheet8!$B$4:$B$9</c:f>
              <c:numCache>
                <c:formatCode>General</c:formatCode>
                <c:ptCount val="5"/>
                <c:pt idx="0">
                  <c:v>5223</c:v>
                </c:pt>
                <c:pt idx="1">
                  <c:v>4953</c:v>
                </c:pt>
                <c:pt idx="2">
                  <c:v>4671</c:v>
                </c:pt>
                <c:pt idx="3">
                  <c:v>4551</c:v>
                </c:pt>
                <c:pt idx="4">
                  <c:v>4374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7-4FE4-9F34-9446B747F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7880479"/>
        <c:axId val="1317880959"/>
        <c:axId val="1148176815"/>
      </c:bar3DChart>
      <c:catAx>
        <c:axId val="131788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880959"/>
        <c:crosses val="autoZero"/>
        <c:auto val="1"/>
        <c:lblAlgn val="ctr"/>
        <c:lblOffset val="100"/>
        <c:noMultiLvlLbl val="0"/>
      </c:catAx>
      <c:valAx>
        <c:axId val="131788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880479"/>
        <c:crosses val="autoZero"/>
        <c:crossBetween val="between"/>
      </c:valAx>
      <c:serAx>
        <c:axId val="1148176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88095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[General.xlsx]Sheet8!PivotTable8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Sheet8!$J$6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Sheet8!$I$7:$I$12</c:f>
              <c:strCache>
                <c:ptCount val="5"/>
                <c:pt idx="0">
                  <c:v>2012</c:v>
                </c:pt>
                <c:pt idx="1">
                  <c:v>2010</c:v>
                </c:pt>
                <c:pt idx="2">
                  <c:v>2013</c:v>
                </c:pt>
                <c:pt idx="3">
                  <c:v>2011</c:v>
                </c:pt>
                <c:pt idx="4">
                  <c:v>2015</c:v>
                </c:pt>
              </c:strCache>
            </c:strRef>
          </c:cat>
          <c:val>
            <c:numRef>
              <c:f>Sheet8!$J$7:$J$12</c:f>
              <c:numCache>
                <c:formatCode>General</c:formatCode>
                <c:ptCount val="5"/>
                <c:pt idx="0">
                  <c:v>2634</c:v>
                </c:pt>
                <c:pt idx="1">
                  <c:v>2622</c:v>
                </c:pt>
                <c:pt idx="2">
                  <c:v>2583</c:v>
                </c:pt>
                <c:pt idx="3">
                  <c:v>2544</c:v>
                </c:pt>
                <c:pt idx="4">
                  <c:v>2541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8-4AB5-A44C-E2894BFBE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2768751"/>
        <c:axId val="502762991"/>
        <c:axId val="0"/>
      </c:bar3DChart>
      <c:catAx>
        <c:axId val="5027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762991"/>
        <c:crosses val="autoZero"/>
        <c:auto val="1"/>
        <c:lblAlgn val="ctr"/>
        <c:lblOffset val="100"/>
        <c:noMultiLvlLbl val="0"/>
      </c:catAx>
      <c:valAx>
        <c:axId val="50276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76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[General.xlsx]Sheet8!PivotTable9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Sheet8!$D$5:$D$23</c:f>
              <c:strCache>
                <c:ptCount val="18"/>
                <c:pt idx="0">
                  <c:v>57219</c:v>
                </c:pt>
                <c:pt idx="1">
                  <c:v>57546</c:v>
                </c:pt>
                <c:pt idx="2">
                  <c:v>57675</c:v>
                </c:pt>
                <c:pt idx="3">
                  <c:v>57996</c:v>
                </c:pt>
                <c:pt idx="4">
                  <c:v>58647</c:v>
                </c:pt>
                <c:pt idx="5">
                  <c:v>58701</c:v>
                </c:pt>
                <c:pt idx="6">
                  <c:v>58881</c:v>
                </c:pt>
                <c:pt idx="7">
                  <c:v>59058</c:v>
                </c:pt>
                <c:pt idx="8">
                  <c:v>59406</c:v>
                </c:pt>
                <c:pt idx="9">
                  <c:v>59595</c:v>
                </c:pt>
                <c:pt idx="10">
                  <c:v>59613</c:v>
                </c:pt>
                <c:pt idx="11">
                  <c:v>61029</c:v>
                </c:pt>
                <c:pt idx="12">
                  <c:v>61164</c:v>
                </c:pt>
                <c:pt idx="13">
                  <c:v>61380</c:v>
                </c:pt>
                <c:pt idx="14">
                  <c:v>62457</c:v>
                </c:pt>
                <c:pt idx="15">
                  <c:v>63813</c:v>
                </c:pt>
                <c:pt idx="16">
                  <c:v>63873</c:v>
                </c:pt>
                <c:pt idx="17">
                  <c:v>64278</c:v>
                </c:pt>
              </c:strCache>
            </c:strRef>
          </c:cat>
          <c:val>
            <c:numRef>
              <c:f>Sheet8!$E$5:$E$23</c:f>
              <c:numCache>
                <c:formatCode>General</c:formatCode>
                <c:ptCount val="18"/>
                <c:pt idx="0">
                  <c:v>2922</c:v>
                </c:pt>
                <c:pt idx="1">
                  <c:v>1893</c:v>
                </c:pt>
                <c:pt idx="2">
                  <c:v>4134</c:v>
                </c:pt>
                <c:pt idx="3">
                  <c:v>2076</c:v>
                </c:pt>
                <c:pt idx="4">
                  <c:v>1596</c:v>
                </c:pt>
                <c:pt idx="5">
                  <c:v>3303.0000000000005</c:v>
                </c:pt>
                <c:pt idx="6">
                  <c:v>1719</c:v>
                </c:pt>
                <c:pt idx="7">
                  <c:v>4374</c:v>
                </c:pt>
                <c:pt idx="8">
                  <c:v>2481</c:v>
                </c:pt>
                <c:pt idx="9">
                  <c:v>2316</c:v>
                </c:pt>
                <c:pt idx="10">
                  <c:v>1995</c:v>
                </c:pt>
                <c:pt idx="11">
                  <c:v>2865.0000000000005</c:v>
                </c:pt>
                <c:pt idx="12">
                  <c:v>3786</c:v>
                </c:pt>
                <c:pt idx="13">
                  <c:v>4008</c:v>
                </c:pt>
                <c:pt idx="14">
                  <c:v>4671</c:v>
                </c:pt>
                <c:pt idx="15">
                  <c:v>4551</c:v>
                </c:pt>
                <c:pt idx="16">
                  <c:v>4953</c:v>
                </c:pt>
                <c:pt idx="17">
                  <c:v>5223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C-4A92-A85C-DCAAC0C3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1067775"/>
        <c:axId val="1431068255"/>
      </c:barChart>
      <c:catAx>
        <c:axId val="1431067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068255"/>
        <c:crosses val="autoZero"/>
        <c:auto val="1"/>
        <c:lblAlgn val="ctr"/>
        <c:lblOffset val="100"/>
        <c:noMultiLvlLbl val="0"/>
      </c:catAx>
      <c:valAx>
        <c:axId val="143106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06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[General.xlsx]Sheet8!PivotTable14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Sheet8!$K$17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57-4CCD-A75E-5DCC544EB7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57-4CCD-A75E-5DCC544EB7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57-4CCD-A75E-5DCC544EB7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57-4CCD-A75E-5DCC544EB7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57-4CCD-A75E-5DCC544EB7B3}"/>
              </c:ext>
            </c:extLst>
          </c:dPt>
          <c:cat>
            <c:strRef>
              <c:f>Sheet8!$J$18:$J$23</c:f>
              <c:strCache>
                <c:ptCount val="5"/>
                <c:pt idx="0">
                  <c:v>2008</c:v>
                </c:pt>
                <c:pt idx="1">
                  <c:v>2007</c:v>
                </c:pt>
                <c:pt idx="2">
                  <c:v>2010</c:v>
                </c:pt>
                <c:pt idx="3">
                  <c:v>2009</c:v>
                </c:pt>
                <c:pt idx="4">
                  <c:v>2011</c:v>
                </c:pt>
              </c:strCache>
            </c:strRef>
          </c:cat>
          <c:val>
            <c:numRef>
              <c:f>Sheet8!$K$18:$K$23</c:f>
              <c:numCache>
                <c:formatCode>General</c:formatCode>
                <c:ptCount val="5"/>
                <c:pt idx="0">
                  <c:v>64278</c:v>
                </c:pt>
                <c:pt idx="1">
                  <c:v>63873</c:v>
                </c:pt>
                <c:pt idx="2">
                  <c:v>63813</c:v>
                </c:pt>
                <c:pt idx="3">
                  <c:v>62457</c:v>
                </c:pt>
                <c:pt idx="4">
                  <c:v>61380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1-43A4-8B93-CD905EA6C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 /><Relationship Id="rId2" Type="http://schemas.openxmlformats.org/officeDocument/2006/relationships/chart" Target="../charts/chart1.xml" /><Relationship Id="rId1" Type="http://schemas.openxmlformats.org/officeDocument/2006/relationships/image" Target="../media/image1.png" /><Relationship Id="rId5" Type="http://schemas.openxmlformats.org/officeDocument/2006/relationships/chart" Target="../charts/chart4.xml" /><Relationship Id="rId4" Type="http://schemas.openxmlformats.org/officeDocument/2006/relationships/chart" Target="../charts/chart3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 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 /><Relationship Id="rId2" Type="http://schemas.openxmlformats.org/officeDocument/2006/relationships/chart" Target="../charts/chart7.xml" /><Relationship Id="rId1" Type="http://schemas.openxmlformats.org/officeDocument/2006/relationships/chart" Target="../charts/chart6.xml" /><Relationship Id="rId4" Type="http://schemas.openxmlformats.org/officeDocument/2006/relationships/chart" Target="../charts/chart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150458</xdr:colOff>
      <xdr:row>1</xdr:row>
      <xdr:rowOff>74081</xdr:rowOff>
    </xdr:from>
    <xdr:to>
      <xdr:col>20</xdr:col>
      <xdr:colOff>169333</xdr:colOff>
      <xdr:row>34</xdr:row>
      <xdr:rowOff>31750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2887FAF-8EF5-48B2-77D3-7F8D057F5173}"/>
            </a:ext>
          </a:extLst>
        </xdr:cNvPr>
        <xdr:cNvSpPr/>
      </xdr:nvSpPr>
      <xdr:spPr>
        <a:xfrm>
          <a:off x="150458" y="253998"/>
          <a:ext cx="12295542" cy="5894919"/>
        </a:xfrm>
        <a:prstGeom prst="roundRect">
          <a:avLst>
            <a:gd name="adj" fmla="val 3019"/>
          </a:avLst>
        </a:prstGeom>
        <a:gradFill flip="none" rotWithShape="1">
          <a:gsLst>
            <a:gs pos="0">
              <a:srgbClr val="0070C0">
                <a:shade val="30000"/>
                <a:satMod val="115000"/>
              </a:srgbClr>
            </a:gs>
            <a:gs pos="50000">
              <a:srgbClr val="0070C0">
                <a:shade val="67500"/>
                <a:satMod val="115000"/>
              </a:srgbClr>
            </a:gs>
            <a:gs pos="100000">
              <a:srgbClr val="0070C0">
                <a:shade val="100000"/>
                <a:satMod val="115000"/>
              </a:srgb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glow rad="63500">
            <a:srgbClr val="0070C0">
              <a:alpha val="3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289276</xdr:colOff>
      <xdr:row>11</xdr:row>
      <xdr:rowOff>162278</xdr:rowOff>
    </xdr:from>
    <xdr:to>
      <xdr:col>3</xdr:col>
      <xdr:colOff>201083</xdr:colOff>
      <xdr:row>13</xdr:row>
      <xdr:rowOff>158750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0E52A09-6619-F0DE-A630-C242AA316586}"/>
            </a:ext>
          </a:extLst>
        </xdr:cNvPr>
        <xdr:cNvSpPr/>
      </xdr:nvSpPr>
      <xdr:spPr>
        <a:xfrm>
          <a:off x="289276" y="2141361"/>
          <a:ext cx="1753307" cy="356306"/>
        </a:xfrm>
        <a:prstGeom prst="roundRect">
          <a:avLst>
            <a:gd name="adj" fmla="val 39308"/>
          </a:avLst>
        </a:prstGeom>
        <a:solidFill>
          <a:schemeClr val="bg1"/>
        </a:solidFill>
        <a:ln w="285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DASHBOARD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289276</xdr:colOff>
      <xdr:row>15</xdr:row>
      <xdr:rowOff>134055</xdr:rowOff>
    </xdr:from>
    <xdr:to>
      <xdr:col>3</xdr:col>
      <xdr:colOff>156339</xdr:colOff>
      <xdr:row>17</xdr:row>
      <xdr:rowOff>130527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8877E29-66F4-9FDB-0A49-3F9E1D63F137}"/>
            </a:ext>
          </a:extLst>
        </xdr:cNvPr>
        <xdr:cNvSpPr/>
      </xdr:nvSpPr>
      <xdr:spPr>
        <a:xfrm>
          <a:off x="289276" y="2832805"/>
          <a:ext cx="1708563" cy="356305"/>
        </a:xfrm>
        <a:prstGeom prst="roundRect">
          <a:avLst>
            <a:gd name="adj" fmla="val 35535"/>
          </a:avLst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path path="circle">
            <a:fillToRect r="100000" b="100000"/>
          </a:path>
          <a:tileRect l="-100000" t="-100000"/>
        </a:gradFill>
        <a:ln w="285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REPORTS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289276</xdr:colOff>
      <xdr:row>19</xdr:row>
      <xdr:rowOff>95249</xdr:rowOff>
    </xdr:from>
    <xdr:to>
      <xdr:col>3</xdr:col>
      <xdr:colOff>148882</xdr:colOff>
      <xdr:row>21</xdr:row>
      <xdr:rowOff>91721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CCCC906-0E61-49A1-A6F5-B4384274A26F}"/>
            </a:ext>
          </a:extLst>
        </xdr:cNvPr>
        <xdr:cNvSpPr/>
      </xdr:nvSpPr>
      <xdr:spPr>
        <a:xfrm>
          <a:off x="289276" y="3513666"/>
          <a:ext cx="1701106" cy="356305"/>
        </a:xfrm>
        <a:prstGeom prst="roundRect">
          <a:avLst>
            <a:gd name="adj" fmla="val 37422"/>
          </a:avLst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path path="circle">
            <a:fillToRect r="100000" b="100000"/>
          </a:path>
          <a:tileRect l="-100000" t="-100000"/>
        </a:gradFill>
        <a:ln w="285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ABOUT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342900</xdr:colOff>
      <xdr:row>9</xdr:row>
      <xdr:rowOff>31750</xdr:rowOff>
    </xdr:from>
    <xdr:to>
      <xdr:col>10</xdr:col>
      <xdr:colOff>103142</xdr:colOff>
      <xdr:row>33</xdr:row>
      <xdr:rowOff>42333</xdr:rowOff>
    </xdr:to>
    <xdr:sp macro="" textlink="">
      <xdr:nvSpPr>
        <xdr:cNvPr id="66" name="Rectangle: Rounded Corners 65">
          <a:extLst>
            <a:ext uri="{FF2B5EF4-FFF2-40B4-BE49-F238E27FC236}">
              <a16:creationId xmlns:a16="http://schemas.microsoft.com/office/drawing/2014/main" id="{1AED726C-C127-8220-3009-20619948345F}"/>
            </a:ext>
          </a:extLst>
        </xdr:cNvPr>
        <xdr:cNvSpPr/>
      </xdr:nvSpPr>
      <xdr:spPr>
        <a:xfrm>
          <a:off x="2184400" y="1651000"/>
          <a:ext cx="4057075" cy="4328583"/>
        </a:xfrm>
        <a:prstGeom prst="roundRect">
          <a:avLst>
            <a:gd name="adj" fmla="val 2569"/>
          </a:avLst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path path="circle">
            <a:fillToRect r="100000" b="100000"/>
          </a:path>
          <a:tileRect l="-100000" t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324556</xdr:colOff>
      <xdr:row>2</xdr:row>
      <xdr:rowOff>61856</xdr:rowOff>
    </xdr:from>
    <xdr:to>
      <xdr:col>3</xdr:col>
      <xdr:colOff>158749</xdr:colOff>
      <xdr:row>8</xdr:row>
      <xdr:rowOff>84667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372F32D1-0883-1BCC-E76E-024769E2C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556" y="421689"/>
          <a:ext cx="1675693" cy="1102311"/>
        </a:xfrm>
        <a:prstGeom prst="rect">
          <a:avLst/>
        </a:prstGeom>
      </xdr:spPr>
    </xdr:pic>
    <xdr:clientData/>
  </xdr:twoCellAnchor>
  <xdr:oneCellAnchor>
    <xdr:from>
      <xdr:col>5</xdr:col>
      <xdr:colOff>52181</xdr:colOff>
      <xdr:row>11</xdr:row>
      <xdr:rowOff>85037</xdr:rowOff>
    </xdr:from>
    <xdr:ext cx="2300245" cy="311496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8B918A8-A1F3-0F02-C272-DCC296B036B4}"/>
            </a:ext>
          </a:extLst>
        </xdr:cNvPr>
        <xdr:cNvSpPr txBox="1"/>
      </xdr:nvSpPr>
      <xdr:spPr>
        <a:xfrm>
          <a:off x="3121348" y="2064120"/>
          <a:ext cx="230024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Avg</a:t>
          </a:r>
          <a:r>
            <a:rPr lang="en-US" sz="1400" b="1" baseline="0"/>
            <a:t> Mothers  Age &lt; 20 years</a:t>
          </a:r>
          <a:endParaRPr lang="en-US" sz="1100" b="1" baseline="0"/>
        </a:p>
      </xdr:txBody>
    </xdr:sp>
    <xdr:clientData/>
  </xdr:oneCellAnchor>
  <xdr:oneCellAnchor>
    <xdr:from>
      <xdr:col>5</xdr:col>
      <xdr:colOff>223552</xdr:colOff>
      <xdr:row>9</xdr:row>
      <xdr:rowOff>33571</xdr:rowOff>
    </xdr:from>
    <xdr:ext cx="1785053" cy="311496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36E6677-8AF9-CF46-A93A-042458B29CDD}"/>
            </a:ext>
          </a:extLst>
        </xdr:cNvPr>
        <xdr:cNvSpPr txBox="1"/>
      </xdr:nvSpPr>
      <xdr:spPr>
        <a:xfrm>
          <a:off x="3292719" y="1652821"/>
          <a:ext cx="1785053" cy="31149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 baseline="0"/>
            <a:t>Mothers Age Analysis</a:t>
          </a:r>
          <a:endParaRPr lang="en-US" sz="1100" b="1" baseline="0"/>
        </a:p>
      </xdr:txBody>
    </xdr:sp>
    <xdr:clientData/>
  </xdr:oneCellAnchor>
  <xdr:oneCellAnchor>
    <xdr:from>
      <xdr:col>4</xdr:col>
      <xdr:colOff>521987</xdr:colOff>
      <xdr:row>20</xdr:row>
      <xdr:rowOff>164946</xdr:rowOff>
    </xdr:from>
    <xdr:ext cx="2259658" cy="31149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4336E61-4D6B-C204-BC97-7961D39E6F33}"/>
            </a:ext>
          </a:extLst>
        </xdr:cNvPr>
        <xdr:cNvSpPr txBox="1"/>
      </xdr:nvSpPr>
      <xdr:spPr>
        <a:xfrm>
          <a:off x="2977320" y="3763279"/>
          <a:ext cx="225965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Avg</a:t>
          </a:r>
          <a:r>
            <a:rPr lang="en-US" sz="1400" b="1" baseline="0"/>
            <a:t> Mothers Age &gt; 40 years</a:t>
          </a:r>
          <a:endParaRPr lang="en-US" sz="1100" b="1" baseline="0"/>
        </a:p>
      </xdr:txBody>
    </xdr:sp>
    <xdr:clientData/>
  </xdr:oneCellAnchor>
  <xdr:twoCellAnchor>
    <xdr:from>
      <xdr:col>3</xdr:col>
      <xdr:colOff>455084</xdr:colOff>
      <xdr:row>10</xdr:row>
      <xdr:rowOff>95250</xdr:rowOff>
    </xdr:from>
    <xdr:to>
      <xdr:col>10</xdr:col>
      <xdr:colOff>1</xdr:colOff>
      <xdr:row>21</xdr:row>
      <xdr:rowOff>169333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F12E2C4-5ED1-43DE-87BB-A238DAACB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560916</xdr:colOff>
      <xdr:row>21</xdr:row>
      <xdr:rowOff>169334</xdr:rowOff>
    </xdr:from>
    <xdr:to>
      <xdr:col>9</xdr:col>
      <xdr:colOff>561927</xdr:colOff>
      <xdr:row>32</xdr:row>
      <xdr:rowOff>21167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C0D89F94-DB8C-40FF-809A-8918AE826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409093</xdr:colOff>
      <xdr:row>21</xdr:row>
      <xdr:rowOff>31750</xdr:rowOff>
    </xdr:from>
    <xdr:to>
      <xdr:col>19</xdr:col>
      <xdr:colOff>582084</xdr:colOff>
      <xdr:row>33</xdr:row>
      <xdr:rowOff>62162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FD0D9D6E-EA7D-3CEF-5182-765F21FBC738}"/>
            </a:ext>
          </a:extLst>
        </xdr:cNvPr>
        <xdr:cNvSpPr/>
      </xdr:nvSpPr>
      <xdr:spPr>
        <a:xfrm>
          <a:off x="6547426" y="3810000"/>
          <a:ext cx="5697491" cy="2189412"/>
        </a:xfrm>
        <a:prstGeom prst="roundRect">
          <a:avLst>
            <a:gd name="adj" fmla="val 2569"/>
          </a:avLst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path path="circle">
            <a:fillToRect r="100000" b="100000"/>
          </a:path>
          <a:tileRect l="-100000" t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409093</xdr:colOff>
      <xdr:row>9</xdr:row>
      <xdr:rowOff>0</xdr:rowOff>
    </xdr:from>
    <xdr:to>
      <xdr:col>19</xdr:col>
      <xdr:colOff>582084</xdr:colOff>
      <xdr:row>20</xdr:row>
      <xdr:rowOff>129895</xdr:rowOff>
    </xdr:to>
    <xdr:sp macro="" textlink="">
      <xdr:nvSpPr>
        <xdr:cNvPr id="67" name="Rectangle: Rounded Corners 66">
          <a:extLst>
            <a:ext uri="{FF2B5EF4-FFF2-40B4-BE49-F238E27FC236}">
              <a16:creationId xmlns:a16="http://schemas.microsoft.com/office/drawing/2014/main" id="{6FC13C14-6E38-59D7-FBAB-F9C43624B623}"/>
            </a:ext>
          </a:extLst>
        </xdr:cNvPr>
        <xdr:cNvSpPr/>
      </xdr:nvSpPr>
      <xdr:spPr>
        <a:xfrm>
          <a:off x="6547426" y="1619250"/>
          <a:ext cx="5697491" cy="2108978"/>
        </a:xfrm>
        <a:prstGeom prst="roundRect">
          <a:avLst>
            <a:gd name="adj" fmla="val 2569"/>
          </a:avLst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path path="circle">
            <a:fillToRect r="100000" b="100000"/>
          </a:path>
          <a:tileRect l="-100000" t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550334</xdr:colOff>
      <xdr:row>2</xdr:row>
      <xdr:rowOff>65616</xdr:rowOff>
    </xdr:from>
    <xdr:to>
      <xdr:col>19</xdr:col>
      <xdr:colOff>582084</xdr:colOff>
      <xdr:row>8</xdr:row>
      <xdr:rowOff>71965</xdr:rowOff>
    </xdr:to>
    <xdr:sp macro="" textlink="">
      <xdr:nvSpPr>
        <xdr:cNvPr id="68" name="Rectangle: Rounded Corners 67">
          <a:extLst>
            <a:ext uri="{FF2B5EF4-FFF2-40B4-BE49-F238E27FC236}">
              <a16:creationId xmlns:a16="http://schemas.microsoft.com/office/drawing/2014/main" id="{9C704CEF-6728-1405-AFDD-9661D8B028C2}"/>
            </a:ext>
          </a:extLst>
        </xdr:cNvPr>
        <xdr:cNvSpPr/>
      </xdr:nvSpPr>
      <xdr:spPr>
        <a:xfrm>
          <a:off x="10371667" y="425449"/>
          <a:ext cx="1873250" cy="1085849"/>
        </a:xfrm>
        <a:prstGeom prst="roundRect">
          <a:avLst>
            <a:gd name="adj" fmla="val 8417"/>
          </a:avLst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path path="circle">
            <a:fillToRect r="100000" b="100000"/>
          </a:path>
          <a:tileRect l="-100000" t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582083</xdr:colOff>
      <xdr:row>21</xdr:row>
      <xdr:rowOff>148166</xdr:rowOff>
    </xdr:from>
    <xdr:to>
      <xdr:col>19</xdr:col>
      <xdr:colOff>550334</xdr:colOff>
      <xdr:row>33</xdr:row>
      <xdr:rowOff>10583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D1D622D6-DC59-469C-B383-F502A962E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550334</xdr:colOff>
      <xdr:row>9</xdr:row>
      <xdr:rowOff>42333</xdr:rowOff>
    </xdr:from>
    <xdr:to>
      <xdr:col>19</xdr:col>
      <xdr:colOff>412750</xdr:colOff>
      <xdr:row>20</xdr:row>
      <xdr:rowOff>63500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D13810E8-1F08-4AD4-B93E-DCEDCA5C2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433917</xdr:colOff>
      <xdr:row>2</xdr:row>
      <xdr:rowOff>65616</xdr:rowOff>
    </xdr:from>
    <xdr:to>
      <xdr:col>16</xdr:col>
      <xdr:colOff>448733</xdr:colOff>
      <xdr:row>8</xdr:row>
      <xdr:rowOff>71965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67E7E1E-455A-FBA8-008A-267DF61CE62E}"/>
            </a:ext>
          </a:extLst>
        </xdr:cNvPr>
        <xdr:cNvSpPr/>
      </xdr:nvSpPr>
      <xdr:spPr>
        <a:xfrm>
          <a:off x="8413750" y="425449"/>
          <a:ext cx="1856316" cy="1085849"/>
        </a:xfrm>
        <a:prstGeom prst="roundRect">
          <a:avLst>
            <a:gd name="adj" fmla="val 8417"/>
          </a:avLst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path path="circle">
            <a:fillToRect r="100000" b="100000"/>
          </a:path>
          <a:tileRect l="-100000" t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2000" baseline="0"/>
            <a:t>  </a:t>
          </a:r>
          <a:r>
            <a:rPr lang="en-US" sz="2400" b="1">
              <a:solidFill>
                <a:schemeClr val="tx1"/>
              </a:solidFill>
            </a:rPr>
            <a:t>2005</a:t>
          </a:r>
          <a:r>
            <a:rPr lang="en-US" sz="2400" b="1" baseline="0">
              <a:solidFill>
                <a:schemeClr val="tx1"/>
              </a:solidFill>
            </a:rPr>
            <a:t> - 2022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370416</xdr:colOff>
      <xdr:row>2</xdr:row>
      <xdr:rowOff>86783</xdr:rowOff>
    </xdr:from>
    <xdr:to>
      <xdr:col>13</xdr:col>
      <xdr:colOff>336549</xdr:colOff>
      <xdr:row>8</xdr:row>
      <xdr:rowOff>93132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65006F0-0364-03E8-ADE4-36229967F00F}"/>
            </a:ext>
          </a:extLst>
        </xdr:cNvPr>
        <xdr:cNvSpPr/>
      </xdr:nvSpPr>
      <xdr:spPr>
        <a:xfrm>
          <a:off x="6508749" y="446616"/>
          <a:ext cx="1807633" cy="1085849"/>
        </a:xfrm>
        <a:prstGeom prst="roundRect">
          <a:avLst>
            <a:gd name="adj" fmla="val 8417"/>
          </a:avLst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path path="circle">
            <a:fillToRect r="100000" b="100000"/>
          </a:path>
          <a:tileRect l="-100000" t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359833</xdr:colOff>
      <xdr:row>2</xdr:row>
      <xdr:rowOff>65616</xdr:rowOff>
    </xdr:from>
    <xdr:to>
      <xdr:col>10</xdr:col>
      <xdr:colOff>127000</xdr:colOff>
      <xdr:row>8</xdr:row>
      <xdr:rowOff>71965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59B8AB8-69DB-44C5-929C-699D3F5A3103}"/>
            </a:ext>
          </a:extLst>
        </xdr:cNvPr>
        <xdr:cNvSpPr/>
      </xdr:nvSpPr>
      <xdr:spPr>
        <a:xfrm>
          <a:off x="2201333" y="425449"/>
          <a:ext cx="4064000" cy="1085849"/>
        </a:xfrm>
        <a:prstGeom prst="roundRect">
          <a:avLst>
            <a:gd name="adj" fmla="val 8417"/>
          </a:avLst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path path="circle">
            <a:fillToRect r="100000" b="100000"/>
          </a:path>
          <a:tileRect l="-100000" t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  <a:latin typeface="Arial Black" panose="020B0A04020102020204" pitchFamily="34" charset="0"/>
            </a:rPr>
            <a:t>MATERNAL AGE</a:t>
          </a:r>
          <a:r>
            <a:rPr lang="en-US" sz="1800" b="1" baseline="0">
              <a:solidFill>
                <a:schemeClr val="tx1"/>
              </a:solidFill>
              <a:latin typeface="Arial Black" panose="020B0A04020102020204" pitchFamily="34" charset="0"/>
            </a:rPr>
            <a:t> TREND IN NEW ZEALAND</a:t>
          </a:r>
        </a:p>
        <a:p>
          <a:pPr algn="l"/>
          <a:endParaRPr lang="en-US" sz="11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oneCellAnchor>
    <xdr:from>
      <xdr:col>13</xdr:col>
      <xdr:colOff>505070</xdr:colOff>
      <xdr:row>8</xdr:row>
      <xdr:rowOff>175388</xdr:rowOff>
    </xdr:from>
    <xdr:ext cx="1793630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5D8E5E5-97EB-33DB-204A-59581C02A550}"/>
            </a:ext>
          </a:extLst>
        </xdr:cNvPr>
        <xdr:cNvSpPr txBox="1"/>
      </xdr:nvSpPr>
      <xdr:spPr>
        <a:xfrm>
          <a:off x="8484903" y="1614721"/>
          <a:ext cx="1793630" cy="31149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 baseline="0"/>
            <a:t>Birth  Year Analysis  </a:t>
          </a:r>
          <a:endParaRPr lang="en-US" sz="1100" b="1" baseline="0"/>
        </a:p>
      </xdr:txBody>
    </xdr:sp>
    <xdr:clientData/>
  </xdr:oneCellAnchor>
  <xdr:oneCellAnchor>
    <xdr:from>
      <xdr:col>10</xdr:col>
      <xdr:colOff>454269</xdr:colOff>
      <xdr:row>2</xdr:row>
      <xdr:rowOff>84372</xdr:rowOff>
    </xdr:from>
    <xdr:ext cx="1672981" cy="31149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7FA7DC1-3032-ECB7-5E01-D29FA2F3D140}"/>
            </a:ext>
          </a:extLst>
        </xdr:cNvPr>
        <xdr:cNvSpPr txBox="1"/>
      </xdr:nvSpPr>
      <xdr:spPr>
        <a:xfrm>
          <a:off x="6592602" y="444205"/>
          <a:ext cx="1672981" cy="31149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 baseline="0"/>
            <a:t>Total no of Mothers </a:t>
          </a:r>
          <a:endParaRPr lang="en-US" sz="1100" b="1" baseline="0"/>
        </a:p>
      </xdr:txBody>
    </xdr:sp>
    <xdr:clientData/>
  </xdr:oneCellAnchor>
  <xdr:oneCellAnchor>
    <xdr:from>
      <xdr:col>17</xdr:col>
      <xdr:colOff>20350</xdr:colOff>
      <xdr:row>2</xdr:row>
      <xdr:rowOff>63500</xdr:rowOff>
    </xdr:from>
    <xdr:ext cx="1715315" cy="24341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80EA3EC-7388-6DED-98EA-CE2C0A48B556}"/>
            </a:ext>
          </a:extLst>
        </xdr:cNvPr>
        <xdr:cNvSpPr txBox="1"/>
      </xdr:nvSpPr>
      <xdr:spPr>
        <a:xfrm>
          <a:off x="10455517" y="423333"/>
          <a:ext cx="1715315" cy="24341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 baseline="0"/>
            <a:t>Avg Age of Mothers</a:t>
          </a:r>
          <a:endParaRPr lang="en-US" sz="1050" b="1" baseline="0"/>
        </a:p>
      </xdr:txBody>
    </xdr:sp>
    <xdr:clientData/>
  </xdr:oneCellAnchor>
  <xdr:oneCellAnchor>
    <xdr:from>
      <xdr:col>14</xdr:col>
      <xdr:colOff>479670</xdr:colOff>
      <xdr:row>2</xdr:row>
      <xdr:rowOff>67438</xdr:rowOff>
    </xdr:from>
    <xdr:ext cx="610413" cy="31149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686E1F8-7995-7166-A0AF-E553BBCD06D6}"/>
            </a:ext>
          </a:extLst>
        </xdr:cNvPr>
        <xdr:cNvSpPr txBox="1"/>
      </xdr:nvSpPr>
      <xdr:spPr>
        <a:xfrm>
          <a:off x="9073337" y="427271"/>
          <a:ext cx="610413" cy="31149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 baseline="0"/>
            <a:t>Years </a:t>
          </a:r>
          <a:endParaRPr lang="en-US" sz="1100" b="1" baseline="0"/>
        </a:p>
      </xdr:txBody>
    </xdr:sp>
    <xdr:clientData/>
  </xdr:oneCellAnchor>
  <xdr:oneCellAnchor>
    <xdr:from>
      <xdr:col>17</xdr:col>
      <xdr:colOff>317316</xdr:colOff>
      <xdr:row>3</xdr:row>
      <xdr:rowOff>179915</xdr:rowOff>
    </xdr:from>
    <xdr:ext cx="1047934" cy="539751"/>
    <xdr:sp macro="" textlink="'births-by-mothers-age'!G2">
      <xdr:nvSpPr>
        <xdr:cNvPr id="14" name="TextBox 13">
          <a:extLst>
            <a:ext uri="{FF2B5EF4-FFF2-40B4-BE49-F238E27FC236}">
              <a16:creationId xmlns:a16="http://schemas.microsoft.com/office/drawing/2014/main" id="{E98030B2-F8E4-E0BD-E09C-EDC01AE566C3}"/>
            </a:ext>
          </a:extLst>
        </xdr:cNvPr>
        <xdr:cNvSpPr txBox="1"/>
      </xdr:nvSpPr>
      <xdr:spPr>
        <a:xfrm>
          <a:off x="10752483" y="719665"/>
          <a:ext cx="1047934" cy="5397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4219079C-AFAC-441D-8E11-A94C2F162B0E}" type="TxLink">
            <a:rPr lang="en-US" sz="3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29.5</a:t>
          </a:fld>
          <a:endParaRPr lang="en-US" sz="1400" b="1"/>
        </a:p>
      </xdr:txBody>
    </xdr:sp>
    <xdr:clientData/>
  </xdr:oneCellAnchor>
  <xdr:oneCellAnchor>
    <xdr:from>
      <xdr:col>11</xdr:col>
      <xdr:colOff>7337</xdr:colOff>
      <xdr:row>4</xdr:row>
      <xdr:rowOff>63498</xdr:rowOff>
    </xdr:from>
    <xdr:ext cx="1466997" cy="539751"/>
    <xdr:sp macro="" textlink="Sheet10!M13">
      <xdr:nvSpPr>
        <xdr:cNvPr id="17" name="TextBox 16">
          <a:extLst>
            <a:ext uri="{FF2B5EF4-FFF2-40B4-BE49-F238E27FC236}">
              <a16:creationId xmlns:a16="http://schemas.microsoft.com/office/drawing/2014/main" id="{5FDBAC76-188C-AF4E-9A3E-5F3D84B65F7F}"/>
            </a:ext>
          </a:extLst>
        </xdr:cNvPr>
        <xdr:cNvSpPr txBox="1"/>
      </xdr:nvSpPr>
      <xdr:spPr>
        <a:xfrm>
          <a:off x="6759504" y="783165"/>
          <a:ext cx="1466997" cy="5397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F15E47A3-B21C-4FE3-BD92-6E49BAF1DC50}" type="TxLink">
            <a:rPr lang="en-US" sz="28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1083168</a:t>
          </a:fld>
          <a:endParaRPr lang="en-US" sz="1100" b="1"/>
        </a:p>
      </xdr:txBody>
    </xdr:sp>
    <xdr:clientData/>
  </xdr:oneCellAnchor>
  <xdr:oneCellAnchor>
    <xdr:from>
      <xdr:col>13</xdr:col>
      <xdr:colOff>359020</xdr:colOff>
      <xdr:row>21</xdr:row>
      <xdr:rowOff>31453</xdr:rowOff>
    </xdr:from>
    <xdr:ext cx="2085730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02C82B2-9165-DA3C-E803-CFE54D27CC74}"/>
            </a:ext>
          </a:extLst>
        </xdr:cNvPr>
        <xdr:cNvSpPr txBox="1"/>
      </xdr:nvSpPr>
      <xdr:spPr>
        <a:xfrm>
          <a:off x="8338853" y="3809703"/>
          <a:ext cx="2085730" cy="31149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 baseline="0"/>
            <a:t>Mothers Count analysis</a:t>
          </a:r>
          <a:endParaRPr lang="en-US" sz="1100" b="1" baseline="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1</xdr:row>
      <xdr:rowOff>53975</xdr:rowOff>
    </xdr:from>
    <xdr:to>
      <xdr:col>2</xdr:col>
      <xdr:colOff>374650</xdr:colOff>
      <xdr:row>16</xdr:row>
      <xdr:rowOff>34925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FA8A4B-CD71-495B-906B-007F8EF55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7</xdr:row>
      <xdr:rowOff>168275</xdr:rowOff>
    </xdr:from>
    <xdr:to>
      <xdr:col>1</xdr:col>
      <xdr:colOff>2209800</xdr:colOff>
      <xdr:row>18</xdr:row>
      <xdr:rowOff>6351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78A5EB-D7B6-C737-4E11-E444CA718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7</xdr:row>
      <xdr:rowOff>158749</xdr:rowOff>
    </xdr:from>
    <xdr:to>
      <xdr:col>11</xdr:col>
      <xdr:colOff>260350</xdr:colOff>
      <xdr:row>14</xdr:row>
      <xdr:rowOff>60324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B6407A-25CB-137D-2213-52FF1BE66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44450</xdr:colOff>
      <xdr:row>4</xdr:row>
      <xdr:rowOff>3175</xdr:rowOff>
    </xdr:from>
    <xdr:to>
      <xdr:col>4</xdr:col>
      <xdr:colOff>2317750</xdr:colOff>
      <xdr:row>18</xdr:row>
      <xdr:rowOff>168275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6811DD-CBE1-7A6E-7FD6-3F1E90E38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914400</xdr:colOff>
      <xdr:row>13</xdr:row>
      <xdr:rowOff>60325</xdr:rowOff>
    </xdr:from>
    <xdr:to>
      <xdr:col>10</xdr:col>
      <xdr:colOff>692150</xdr:colOff>
      <xdr:row>28</xdr:row>
      <xdr:rowOff>41275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C64BED4-11DA-9305-4BF9-C9FE7C577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watimilehin" refreshedDate="45989.842749189818" createdVersion="8" refreshedVersion="8" minRefreshableVersion="3" recordCount="18" xr:uid="{77907611-97D3-4DB0-8B69-646F0E6A0687}">
  <cacheSource type="worksheet">
    <worksheetSource name="Table6"/>
  </cacheSource>
  <cacheFields count="27">
    <cacheField name="Period" numFmtId="0">
      <sharedItems containsSemiMixedTypes="0" containsString="0" containsNumber="1" containsInteger="1" minValue="2005" maxValue="2022" count="18"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Total Valid Birth Count" numFmtId="0">
      <sharedItems containsSemiMixedTypes="0" containsString="0" containsNumber="1" containsInteger="1" minValue="57219" maxValue="64278" count="18">
        <n v="57675"/>
        <n v="59058"/>
        <n v="63873"/>
        <n v="64278"/>
        <n v="62457"/>
        <n v="63813"/>
        <n v="61380"/>
        <n v="61164"/>
        <n v="58701"/>
        <n v="57219"/>
        <n v="61029"/>
        <n v="59406"/>
        <n v="59595"/>
        <n v="57996"/>
        <n v="59613"/>
        <n v="57546"/>
        <n v="58647"/>
        <n v="58881"/>
      </sharedItems>
    </cacheField>
    <cacheField name="Total mothers per year" numFmtId="0">
      <sharedItems containsSemiMixedTypes="0" containsString="0" containsNumber="1" containsInteger="1" minValue="57240" maxValue="64341"/>
    </cacheField>
    <cacheField name="Mothers with 2+ births per year" numFmtId="0">
      <sharedItems containsSemiMixedTypes="0" containsString="0" containsNumber="1" containsInteger="1" minValue="6" maxValue="168"/>
    </cacheField>
    <cacheField name="Column1" numFmtId="0">
      <sharedItems containsNonDate="0" containsString="0" containsBlank="1"/>
    </cacheField>
    <cacheField name="% of mothers &lt; 20 years" numFmtId="164">
      <sharedItems containsSemiMixedTypes="0" containsString="0" containsNumber="1" minValue="2.7203927183473104" maxValue="8.1176854571734971"/>
    </cacheField>
    <cacheField name="% of mother &lt; 20 / 100" numFmtId="165">
      <sharedItems containsSemiMixedTypes="0" containsString="0" containsNumber="1" minValue="2.7203927183473104E-2" maxValue="8.1176854571734972E-2"/>
    </cacheField>
    <cacheField name="Total_number of Mothers &lt;20 years" numFmtId="1">
      <sharedItems containsSemiMixedTypes="0" containsString="0" containsNumber="1" minValue="1596" maxValue="5223" count="18">
        <n v="4134"/>
        <n v="4374"/>
        <n v="4953"/>
        <n v="5223"/>
        <n v="4671"/>
        <n v="4551"/>
        <n v="4008"/>
        <n v="3786"/>
        <n v="3303.0000000000005"/>
        <n v="2922"/>
        <n v="2865.0000000000005"/>
        <n v="2481"/>
        <n v="2316"/>
        <n v="2076"/>
        <n v="1995"/>
        <n v="1893"/>
        <n v="1596"/>
        <n v="1719"/>
      </sharedItems>
    </cacheField>
    <cacheField name="% of mothers between 20 &amp; 39 years" numFmtId="164">
      <sharedItems containsSemiMixedTypes="0" containsString="0" containsNumber="1" minValue="88.180165058050079" maxValue="93.470034771937009"/>
    </cacheField>
    <cacheField name="% of mothers (20-39)/100" numFmtId="165">
      <sharedItems containsSemiMixedTypes="0" containsString="0" containsNumber="1" minValue="0.88180165058050075" maxValue="0.93470034771937005"/>
    </cacheField>
    <cacheField name="Total_number of Mothers 20-39 years" numFmtId="1">
      <sharedItems containsSemiMixedTypes="0" containsString="0" containsNumber="1" minValue="51510" maxValue="56736"/>
    </cacheField>
    <cacheField name="% of mothers &gt; 40 years" numFmtId="164">
      <sharedItems containsSemiMixedTypes="0" containsString="0" containsNumber="1" minValue="3.6267276317156809" maxValue="4.3984674329501914"/>
    </cacheField>
    <cacheField name="% of mother &gt; 40 / 100" numFmtId="165">
      <sharedItems containsSemiMixedTypes="0" containsString="0" containsNumber="1" minValue="3.6267276317156809E-2" maxValue="4.3984674329501913E-2"/>
    </cacheField>
    <cacheField name="Total_number of Mothers &gt;40 years" numFmtId="164">
      <sharedItems containsSemiMixedTypes="0" containsString="0" containsNumber="1" minValue="2094" maxValue="2634"/>
    </cacheField>
    <cacheField name="Column2" numFmtId="0">
      <sharedItems containsNonDate="0" containsString="0" containsBlank="1"/>
    </cacheField>
    <cacheField name="% of mothers =/&gt; 20" numFmtId="164">
      <sharedItems containsSemiMixedTypes="0" containsString="0" containsNumber="1" minValue="91.882314542826506" maxValue="97.279607281652702"/>
    </cacheField>
    <cacheField name="Column3" numFmtId="164">
      <sharedItems containsNonDate="0" containsString="0" containsBlank="1"/>
    </cacheField>
    <cacheField name="Aging Maternal Metrics " numFmtId="0">
      <sharedItems containsBlank="1"/>
    </cacheField>
    <cacheField name="Column4" numFmtId="0">
      <sharedItems containsString="0" containsBlank="1" containsNumber="1" minValue="2.4306663061715108E-2" maxValue="2378.7576035457741"/>
    </cacheField>
    <cacheField name="Column5" numFmtId="0">
      <sharedItems containsNonDate="0" containsString="0" containsBlank="1"/>
    </cacheField>
    <cacheField name="Teen Pregnancy Metrics" numFmtId="0">
      <sharedItems containsBlank="1"/>
    </cacheField>
    <cacheField name="Column6" numFmtId="0">
      <sharedItems containsString="0" containsBlank="1" containsNumber="1" minValue="0.24945759406303084" maxValue="4129.4892445183414"/>
    </cacheField>
    <cacheField name="Column7" numFmtId="0">
      <sharedItems containsNonDate="0" containsString="0" containsBlank="1"/>
    </cacheField>
    <cacheField name="Y-o-Y change" numFmtId="0">
      <sharedItems containsBlank="1"/>
    </cacheField>
    <cacheField name="Column8" numFmtId="164">
      <sharedItems containsSemiMixedTypes="0" containsString="0" containsNumber="1" minValue="-4.0399409037648377" maxValue="0.23036839404914922"/>
    </cacheField>
    <cacheField name="Column9" numFmtId="0">
      <sharedItems containsBlank="1"/>
    </cacheField>
    <cacheField name="Column10" numFmtId="164">
      <sharedItems containsSemiMixedTypes="0" containsString="0" containsNumber="1" minValue="-2.9191502368943909" maxValue="0.383577620006682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watimilehin" refreshedDate="45989.897309722219" createdVersion="8" refreshedVersion="8" minRefreshableVersion="3" recordCount="648" xr:uid="{021B008D-EF8F-46DF-BD88-B3845FDD7233}">
  <cacheSource type="worksheet">
    <worksheetSource name="Table7"/>
  </cacheSource>
  <cacheFields count="4">
    <cacheField name="Period" numFmtId="0">
      <sharedItems containsSemiMixedTypes="0" containsString="0" containsNumber="1" containsInteger="1" minValue="2005" maxValue="2022"/>
    </cacheField>
    <cacheField name="Birth_Death" numFmtId="0">
      <sharedItems/>
    </cacheField>
    <cacheField name="Region" numFmtId="0">
      <sharedItems/>
    </cacheField>
    <cacheField name="Count" numFmtId="0">
      <sharedItems containsSemiMixedTypes="0" containsString="0" containsNumber="1" containsInteger="1" minValue="6" maxValue="643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uwatimilehin" refreshedDate="45989.93114641204" backgroundQuery="1" createdVersion="8" refreshedVersion="8" minRefreshableVersion="3" recordCount="0" supportSubquery="1" supportAdvancedDrill="1" xr:uid="{D3A815BB-23AA-4D96-8A83-1A0471E99992}">
  <cacheSource type="external" connectionId="1"/>
  <cacheFields count="2">
    <cacheField name="[Table6].[Period].[Period]" caption="Period" numFmtId="0" hierarchy="21" level="1">
      <sharedItems containsSemiMixedTypes="0" containsString="0" containsNumber="1" containsInteger="1" minValue="2007" maxValue="2022" count="10">
        <n v="2007"/>
        <n v="2008"/>
        <n v="2009"/>
        <n v="2010"/>
        <n v="2011"/>
        <n v="2018" u="1"/>
        <n v="2019" u="1"/>
        <n v="2020" u="1"/>
        <n v="2021" u="1"/>
        <n v="2022" u="1"/>
      </sharedItems>
      <extLst>
        <ext xmlns:x15="http://schemas.microsoft.com/office/spreadsheetml/2010/11/main" uri="{4F2E5C28-24EA-4eb8-9CBF-B6C8F9C3D259}">
          <x15:cachedUniqueNames>
            <x15:cachedUniqueName index="0" name="[Table6].[Period].&amp;[2007]"/>
            <x15:cachedUniqueName index="1" name="[Table6].[Period].&amp;[2008]"/>
            <x15:cachedUniqueName index="2" name="[Table6].[Period].&amp;[2009]"/>
            <x15:cachedUniqueName index="3" name="[Table6].[Period].&amp;[2010]"/>
            <x15:cachedUniqueName index="4" name="[Table6].[Period].&amp;[2011]"/>
            <x15:cachedUniqueName index="5" name="[Table6].[Period].&amp;[2018]"/>
            <x15:cachedUniqueName index="6" name="[Table6].[Period].&amp;[2019]"/>
            <x15:cachedUniqueName index="7" name="[Table6].[Period].&amp;[2020]"/>
            <x15:cachedUniqueName index="8" name="[Table6].[Period].&amp;[2021]"/>
            <x15:cachedUniqueName index="9" name="[Table6].[Period].&amp;[2022]"/>
          </x15:cachedUniqueNames>
        </ext>
      </extLst>
    </cacheField>
    <cacheField name="[Measures].[Sum of Total mothers per year]" caption="Sum of Total mothers per year" numFmtId="0" hierarchy="66" level="32767"/>
  </cacheFields>
  <cacheHierarchies count="72">
    <cacheHierarchy uniqueName="[Table3].[Year]" caption="Year" attribute="1" defaultMemberUniqueName="[Table3].[Year].[All]" allUniqueName="[Table3].[Year].[All]" dimensionUniqueName="[Table3]" displayFolder="" count="0" memberValueDatatype="20" unbalanced="0"/>
    <cacheHierarchy uniqueName="[Table3].[Total Valid Birth Count]" caption="Total Valid Birth Count" attribute="1" defaultMemberUniqueName="[Table3].[Total Valid Birth Count].[All]" allUniqueName="[Table3].[Total Valid Birth Count].[All]" dimensionUniqueName="[Table3]" displayFolder="" count="0" memberValueDatatype="20" unbalanced="0"/>
    <cacheHierarchy uniqueName="[Table3].[Total mothers per year]" caption="Total mothers per year" attribute="1" defaultMemberUniqueName="[Table3].[Total mothers per year].[All]" allUniqueName="[Table3].[Total mothers per year].[All]" dimensionUniqueName="[Table3]" displayFolder="" count="0" memberValueDatatype="20" unbalanced="0"/>
    <cacheHierarchy uniqueName="[Table3].[Mothers with 2+ births per year]" caption="Mothers with 2+ births per year" attribute="1" defaultMemberUniqueName="[Table3].[Mothers with 2+ births per year].[All]" allUniqueName="[Table3].[Mothers with 2+ births per year].[All]" dimensionUniqueName="[Table3]" displayFolder="" count="0" memberValueDatatype="20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3].[% of mothers &lt; 20 years]" caption="% of mothers &lt; 20 years" attribute="1" defaultMemberUniqueName="[Table3].[% of mothers &lt; 20 years].[All]" allUniqueName="[Table3].[% of mothers &lt; 20 years].[All]" dimensionUniqueName="[Table3]" displayFolder="" count="0" memberValueDatatype="5" unbalanced="0"/>
    <cacheHierarchy uniqueName="[Table3].[% of mothers between 20 &amp; 39 years]" caption="% of mothers between 20 &amp; 39 years" attribute="1" defaultMemberUniqueName="[Table3].[% of mothers between 20 &amp; 39 years].[All]" allUniqueName="[Table3].[% of mothers between 20 &amp; 39 years].[All]" dimensionUniqueName="[Table3]" displayFolder="" count="0" memberValueDatatype="5" unbalanced="0"/>
    <cacheHierarchy uniqueName="[Table3].[% of mothers &gt; 40 years]" caption="% of mothers &gt; 40 years" attribute="1" defaultMemberUniqueName="[Table3].[% of mothers &gt; 40 years].[All]" allUniqueName="[Table3].[% of mothers &gt; 40 years].[All]" dimensionUniqueName="[Table3]" displayFolder="" count="0" memberValueDatatype="5" unbalanced="0"/>
    <cacheHierarchy uniqueName="[Table3].[Column2]" caption="Column2" attribute="1" defaultMemberUniqueName="[Table3].[Column2].[All]" allUniqueName="[Table3].[Column2].[All]" dimensionUniqueName="[Table3]" displayFolder="" count="0" memberValueDatatype="130" unbalanced="0"/>
    <cacheHierarchy uniqueName="[Table3].[% of mothers =/&gt; 20]" caption="% of mothers =/&gt; 20" attribute="1" defaultMemberUniqueName="[Table3].[% of mothers =/&gt; 20].[All]" allUniqueName="[Table3].[% of mothers =/&gt; 20].[All]" dimensionUniqueName="[Table3]" displayFolder="" count="0" memberValueDatatype="5" unbalanced="0"/>
    <cacheHierarchy uniqueName="[Table3].[Column3]" caption="Column3" attribute="1" defaultMemberUniqueName="[Table3].[Column3].[All]" allUniqueName="[Table3].[Column3].[All]" dimensionUniqueName="[Table3]" displayFolder="" count="0" memberValueDatatype="130" unbalanced="0"/>
    <cacheHierarchy uniqueName="[Table3].[Aging Maternal Metrics]" caption="Aging Maternal Metrics" attribute="1" defaultMemberUniqueName="[Table3].[Aging Maternal Metrics].[All]" allUniqueName="[Table3].[Aging Maternal Metrics].[All]" dimensionUniqueName="[Table3]" displayFolder="" count="0" memberValueDatatype="130" unbalanced="0"/>
    <cacheHierarchy uniqueName="[Table3].[Column4]" caption="Column4" attribute="1" defaultMemberUniqueName="[Table3].[Column4].[All]" allUniqueName="[Table3].[Column4].[All]" dimensionUniqueName="[Table3]" displayFolder="" count="0" memberValueDatatype="5" unbalanced="0"/>
    <cacheHierarchy uniqueName="[Table3].[Column5]" caption="Column5" attribute="1" defaultMemberUniqueName="[Table3].[Column5].[All]" allUniqueName="[Table3].[Column5].[All]" dimensionUniqueName="[Table3]" displayFolder="" count="0" memberValueDatatype="130" unbalanced="0"/>
    <cacheHierarchy uniqueName="[Table3].[Teen Pregnancy Metrics]" caption="Teen Pregnancy Metrics" attribute="1" defaultMemberUniqueName="[Table3].[Teen Pregnancy Metrics].[All]" allUniqueName="[Table3].[Teen Pregnancy Metrics].[All]" dimensionUniqueName="[Table3]" displayFolder="" count="0" memberValueDatatype="130" unbalanced="0"/>
    <cacheHierarchy uniqueName="[Table3].[Column6]" caption="Column6" attribute="1" defaultMemberUniqueName="[Table3].[Column6].[All]" allUniqueName="[Table3].[Column6].[All]" dimensionUniqueName="[Table3]" displayFolder="" count="0" memberValueDatatype="5" unbalanced="0"/>
    <cacheHierarchy uniqueName="[Table3].[Column7]" caption="Column7" attribute="1" defaultMemberUniqueName="[Table3].[Column7].[All]" allUniqueName="[Table3].[Column7].[All]" dimensionUniqueName="[Table3]" displayFolder="" count="0" memberValueDatatype="130" unbalanced="0"/>
    <cacheHierarchy uniqueName="[Table3].[Y-o-Y change]" caption="Y-o-Y change" attribute="1" defaultMemberUniqueName="[Table3].[Y-o-Y change].[All]" allUniqueName="[Table3].[Y-o-Y change].[All]" dimensionUniqueName="[Table3]" displayFolder="" count="0" memberValueDatatype="130" unbalanced="0"/>
    <cacheHierarchy uniqueName="[Table3].[Column8]" caption="Column8" attribute="1" defaultMemberUniqueName="[Table3].[Column8].[All]" allUniqueName="[Table3].[Column8].[All]" dimensionUniqueName="[Table3]" displayFolder="" count="0" memberValueDatatype="5" unbalanced="0"/>
    <cacheHierarchy uniqueName="[Table3].[Column9]" caption="Column9" attribute="1" defaultMemberUniqueName="[Table3].[Column9].[All]" allUniqueName="[Table3].[Column9].[All]" dimensionUniqueName="[Table3]" displayFolder="" count="0" memberValueDatatype="130" unbalanced="0"/>
    <cacheHierarchy uniqueName="[Table3].[Column10]" caption="Column10" attribute="1" defaultMemberUniqueName="[Table3].[Column10].[All]" allUniqueName="[Table3].[Column10].[All]" dimensionUniqueName="[Table3]" displayFolder="" count="0" memberValueDatatype="5" unbalanced="0"/>
    <cacheHierarchy uniqueName="[Table6].[Period]" caption="Period" attribute="1" defaultMemberUniqueName="[Table6].[Period].[All]" allUniqueName="[Table6].[Period].[All]" dimensionUniqueName="[Table6]" displayFolder="" count="2" memberValueDatatype="20" unbalanced="0">
      <fieldsUsage count="2">
        <fieldUsage x="-1"/>
        <fieldUsage x="0"/>
      </fieldsUsage>
    </cacheHierarchy>
    <cacheHierarchy uniqueName="[Table6].[Total Valid Birth Count]" caption="Total Valid Birth Count" attribute="1" defaultMemberUniqueName="[Table6].[Total Valid Birth Count].[All]" allUniqueName="[Table6].[Total Valid Birth Count].[All]" dimensionUniqueName="[Table6]" displayFolder="" count="0" memberValueDatatype="20" unbalanced="0"/>
    <cacheHierarchy uniqueName="[Table6].[Total mothers per year]" caption="Total mothers per year" attribute="1" defaultMemberUniqueName="[Table6].[Total mothers per year].[All]" allUniqueName="[Table6].[Total mothers per year].[All]" dimensionUniqueName="[Table6]" displayFolder="" count="0" memberValueDatatype="20" unbalanced="0"/>
    <cacheHierarchy uniqueName="[Table6].[Mothers with 2+ births per year]" caption="Mothers with 2+ births per year" attribute="1" defaultMemberUniqueName="[Table6].[Mothers with 2+ births per year].[All]" allUniqueName="[Table6].[Mothers with 2+ births per year].[All]" dimensionUniqueName="[Table6]" displayFolder="" count="0" memberValueDatatype="20" unbalanced="0"/>
    <cacheHierarchy uniqueName="[Table6].[Column1]" caption="Column1" attribute="1" defaultMemberUniqueName="[Table6].[Column1].[All]" allUniqueName="[Table6].[Column1].[All]" dimensionUniqueName="[Table6]" displayFolder="" count="0" memberValueDatatype="130" unbalanced="0"/>
    <cacheHierarchy uniqueName="[Table6].[% of mothers &lt; 20 years]" caption="% of mothers &lt; 20 years" attribute="1" defaultMemberUniqueName="[Table6].[% of mothers &lt; 20 years].[All]" allUniqueName="[Table6].[% of mothers &lt; 20 years].[All]" dimensionUniqueName="[Table6]" displayFolder="" count="0" memberValueDatatype="5" unbalanced="0"/>
    <cacheHierarchy uniqueName="[Table6].[% of mother &lt; 20 / 100]" caption="% of mother &lt; 20 / 100" attribute="1" defaultMemberUniqueName="[Table6].[% of mother &lt; 20 / 100].[All]" allUniqueName="[Table6].[% of mother &lt; 20 / 100].[All]" dimensionUniqueName="[Table6]" displayFolder="" count="0" memberValueDatatype="5" unbalanced="0"/>
    <cacheHierarchy uniqueName="[Table6].[Total_number of Mothers &lt;20 years]" caption="Total_number of Mothers &lt;20 years" attribute="1" defaultMemberUniqueName="[Table6].[Total_number of Mothers &lt;20 years].[All]" allUniqueName="[Table6].[Total_number of Mothers &lt;20 years].[All]" dimensionUniqueName="[Table6]" displayFolder="" count="0" memberValueDatatype="5" unbalanced="0"/>
    <cacheHierarchy uniqueName="[Table6].[% of mothers between 20 &amp; 39 years]" caption="% of mothers between 20 &amp; 39 years" attribute="1" defaultMemberUniqueName="[Table6].[% of mothers between 20 &amp; 39 years].[All]" allUniqueName="[Table6].[% of mothers between 20 &amp; 39 years].[All]" dimensionUniqueName="[Table6]" displayFolder="" count="0" memberValueDatatype="5" unbalanced="0"/>
    <cacheHierarchy uniqueName="[Table6].[% of mothers (20-39)/100]" caption="% of mothers (20-39)/100" attribute="1" defaultMemberUniqueName="[Table6].[% of mothers (20-39)/100].[All]" allUniqueName="[Table6].[% of mothers (20-39)/100].[All]" dimensionUniqueName="[Table6]" displayFolder="" count="0" memberValueDatatype="5" unbalanced="0"/>
    <cacheHierarchy uniqueName="[Table6].[Total_number of Mothers 20-39 years]" caption="Total_number of Mothers 20-39 years" attribute="1" defaultMemberUniqueName="[Table6].[Total_number of Mothers 20-39 years].[All]" allUniqueName="[Table6].[Total_number of Mothers 20-39 years].[All]" dimensionUniqueName="[Table6]" displayFolder="" count="0" memberValueDatatype="5" unbalanced="0"/>
    <cacheHierarchy uniqueName="[Table6].[% of mothers &gt; 40 years]" caption="% of mothers &gt; 40 years" attribute="1" defaultMemberUniqueName="[Table6].[% of mothers &gt; 40 years].[All]" allUniqueName="[Table6].[% of mothers &gt; 40 years].[All]" dimensionUniqueName="[Table6]" displayFolder="" count="0" memberValueDatatype="5" unbalanced="0"/>
    <cacheHierarchy uniqueName="[Table6].[% of mother &gt; 40 / 100]" caption="% of mother &gt; 40 / 100" attribute="1" defaultMemberUniqueName="[Table6].[% of mother &gt; 40 / 100].[All]" allUniqueName="[Table6].[% of mother &gt; 40 / 100].[All]" dimensionUniqueName="[Table6]" displayFolder="" count="0" memberValueDatatype="5" unbalanced="0"/>
    <cacheHierarchy uniqueName="[Table6].[Total_number of Mothers &gt;40 years]" caption="Total_number of Mothers &gt;40 years" attribute="1" defaultMemberUniqueName="[Table6].[Total_number of Mothers &gt;40 years].[All]" allUniqueName="[Table6].[Total_number of Mothers &gt;40 years].[All]" dimensionUniqueName="[Table6]" displayFolder="" count="0" memberValueDatatype="5" unbalanced="0"/>
    <cacheHierarchy uniqueName="[Table6].[Column2]" caption="Column2" attribute="1" defaultMemberUniqueName="[Table6].[Column2].[All]" allUniqueName="[Table6].[Column2].[All]" dimensionUniqueName="[Table6]" displayFolder="" count="0" memberValueDatatype="130" unbalanced="0"/>
    <cacheHierarchy uniqueName="[Table6].[% of mothers =/&gt; 20]" caption="% of mothers =/&gt; 20" attribute="1" defaultMemberUniqueName="[Table6].[% of mothers =/&gt; 20].[All]" allUniqueName="[Table6].[% of mothers =/&gt; 20].[All]" dimensionUniqueName="[Table6]" displayFolder="" count="0" memberValueDatatype="5" unbalanced="0"/>
    <cacheHierarchy uniqueName="[Table6].[Column3]" caption="Column3" attribute="1" defaultMemberUniqueName="[Table6].[Column3].[All]" allUniqueName="[Table6].[Column3].[All]" dimensionUniqueName="[Table6]" displayFolder="" count="0" memberValueDatatype="130" unbalanced="0"/>
    <cacheHierarchy uniqueName="[Table6].[Aging Maternal Metrics]" caption="Aging Maternal Metrics" attribute="1" defaultMemberUniqueName="[Table6].[Aging Maternal Metrics].[All]" allUniqueName="[Table6].[Aging Maternal Metrics].[All]" dimensionUniqueName="[Table6]" displayFolder="" count="0" memberValueDatatype="130" unbalanced="0"/>
    <cacheHierarchy uniqueName="[Table6].[Column4]" caption="Column4" attribute="1" defaultMemberUniqueName="[Table6].[Column4].[All]" allUniqueName="[Table6].[Column4].[All]" dimensionUniqueName="[Table6]" displayFolder="" count="0" memberValueDatatype="5" unbalanced="0"/>
    <cacheHierarchy uniqueName="[Table6].[Column5]" caption="Column5" attribute="1" defaultMemberUniqueName="[Table6].[Column5].[All]" allUniqueName="[Table6].[Column5].[All]" dimensionUniqueName="[Table6]" displayFolder="" count="0" memberValueDatatype="130" unbalanced="0"/>
    <cacheHierarchy uniqueName="[Table6].[Teen Pregnancy Metrics]" caption="Teen Pregnancy Metrics" attribute="1" defaultMemberUniqueName="[Table6].[Teen Pregnancy Metrics].[All]" allUniqueName="[Table6].[Teen Pregnancy Metrics].[All]" dimensionUniqueName="[Table6]" displayFolder="" count="0" memberValueDatatype="130" unbalanced="0"/>
    <cacheHierarchy uniqueName="[Table6].[Column6]" caption="Column6" attribute="1" defaultMemberUniqueName="[Table6].[Column6].[All]" allUniqueName="[Table6].[Column6].[All]" dimensionUniqueName="[Table6]" displayFolder="" count="0" memberValueDatatype="5" unbalanced="0"/>
    <cacheHierarchy uniqueName="[Table6].[Column7]" caption="Column7" attribute="1" defaultMemberUniqueName="[Table6].[Column7].[All]" allUniqueName="[Table6].[Column7].[All]" dimensionUniqueName="[Table6]" displayFolder="" count="0" memberValueDatatype="130" unbalanced="0"/>
    <cacheHierarchy uniqueName="[Table6].[Y-o-Y change]" caption="Y-o-Y change" attribute="1" defaultMemberUniqueName="[Table6].[Y-o-Y change].[All]" allUniqueName="[Table6].[Y-o-Y change].[All]" dimensionUniqueName="[Table6]" displayFolder="" count="0" memberValueDatatype="130" unbalanced="0"/>
    <cacheHierarchy uniqueName="[Table6].[Column8]" caption="Column8" attribute="1" defaultMemberUniqueName="[Table6].[Column8].[All]" allUniqueName="[Table6].[Column8].[All]" dimensionUniqueName="[Table6]" displayFolder="" count="0" memberValueDatatype="5" unbalanced="0"/>
    <cacheHierarchy uniqueName="[Table6].[Column9]" caption="Column9" attribute="1" defaultMemberUniqueName="[Table6].[Column9].[All]" allUniqueName="[Table6].[Column9].[All]" dimensionUniqueName="[Table6]" displayFolder="" count="0" memberValueDatatype="130" unbalanced="0"/>
    <cacheHierarchy uniqueName="[Table6].[Column10]" caption="Column10" attribute="1" defaultMemberUniqueName="[Table6].[Column10].[All]" allUniqueName="[Table6].[Column10].[All]" dimensionUniqueName="[Table6]" displayFolder="" count="0" memberValueDatatype="5" unbalanced="0"/>
    <cacheHierarchy uniqueName="[Table7].[Period]" caption="Period" attribute="1" defaultMemberUniqueName="[Table7].[Period].[All]" allUniqueName="[Table7].[Period].[All]" dimensionUniqueName="[Table7]" displayFolder="" count="0" memberValueDatatype="20" unbalanced="0"/>
    <cacheHierarchy uniqueName="[Table7].[Birth_Death]" caption="Birth_Death" attribute="1" defaultMemberUniqueName="[Table7].[Birth_Death].[All]" allUniqueName="[Table7].[Birth_Death].[All]" dimensionUniqueName="[Table7]" displayFolder="" count="0" memberValueDatatype="130" unbalanced="0"/>
    <cacheHierarchy uniqueName="[Table7].[Region]" caption="Region" attribute="1" defaultMemberUniqueName="[Table7].[Region].[All]" allUniqueName="[Table7].[Region].[All]" dimensionUniqueName="[Table7]" displayFolder="" count="0" memberValueDatatype="130" unbalanced="0"/>
    <cacheHierarchy uniqueName="[Table7].[Count]" caption="Count" attribute="1" defaultMemberUniqueName="[Table7].[Count].[All]" allUniqueName="[Table7].[Count].[All]" dimensionUniqueName="[Table7]" displayFolder="" count="0" memberValueDatatype="20" unbalanced="0"/>
    <cacheHierarchy uniqueName="[Measures].[__XL_Count Table7]" caption="__XL_Count Table7" measure="1" displayFolder="" measureGroup="Table7" count="0" hidden="1"/>
    <cacheHierarchy uniqueName="[Measures].[__XL_Count Table6]" caption="__XL_Count Table6" measure="1" displayFolder="" measureGroup="Table6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% of mothers &lt; 20 years]" caption="Sum of % of mothers &lt; 20 years" measure="1" displayFolder="" measureGroup="Table6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% of mothers &lt; 20 years]" caption="Count of % of mothers &lt; 20 years" measure="1" displayFolder="" measureGroup="Table6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ax of % of mothers &lt; 20 years]" caption="Max of % of mothers &lt; 20 years" measure="1" displayFolder="" measureGroup="Table6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% of mothers &lt; 20 years]" caption="Average of % of mothers &lt; 20 years" measure="1" displayFolder="" measureGroup="Table6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eriod]" caption="Sum of Period" measure="1" displayFolder="" measureGroup="Table6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 Valid Birth Count]" caption="Sum of Total Valid Birth Count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otal Valid Birth Count]" caption="Average of Total Valid Birth Count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 Valid Birth Count]" caption="Count of Total Valid Birth Count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Total Valid Birth Count]" caption="Distinct Count of Total Valid Birth Count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_number of Mothers &gt;40 years]" caption="Sum of Total_number of Mothers &gt;40 years" measure="1" displayFolder="" measureGroup="Table6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otal mothers per year]" caption="Sum of Total mothers per year" measure="1" displayFolder="" measureGroup="Table6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Total mothers per year]" caption="Count of Total mothers per year" measure="1" displayFolder="" measureGroup="Table6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_number of Mothers &lt;20 years]" caption="Sum of Total_number of Mothers &lt;20 years" measure="1" displayFolder="" measureGroup="Table6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olumn4]" caption="Sum of Column4" measure="1" displayFolder="" measureGroup="Table3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Year]" caption="Sum of Year" measure="1" displayFolder="" measureGroup="Table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 Valid Birth Count 2]" caption="Sum of Total Valid Birth Count 2" measure="1" displayFolder="" measureGroup="Table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4">
    <dimension measure="1" name="Measures" uniqueName="[Measures]" caption="Measures"/>
    <dimension name="Table3" uniqueName="[Table3]" caption="Table3"/>
    <dimension name="Table6" uniqueName="[Table6]" caption="Table6"/>
    <dimension name="Table7" uniqueName="[Table7]" caption="Table7"/>
  </dimensions>
  <measureGroups count="3">
    <measureGroup name="Table3" caption="Table3"/>
    <measureGroup name="Table6" caption="Table6"/>
    <measureGroup name="Table7" caption="Table7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uwatimilehin" refreshedDate="45990.010295717591" backgroundQuery="1" createdVersion="8" refreshedVersion="8" minRefreshableVersion="3" recordCount="0" supportSubquery="1" supportAdvancedDrill="1" xr:uid="{0425BEB0-59C7-4C2A-8D6E-0FFA4BC369AF}">
  <cacheSource type="external" connectionId="1"/>
  <cacheFields count="2">
    <cacheField name="[Table6].[Period].[Period]" caption="Period" numFmtId="0" hierarchy="21" level="1">
      <sharedItems containsSemiMixedTypes="0" containsString="0" containsNumber="1" containsInteger="1" minValue="2005" maxValue="2022" count="18"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Table6].[Period].&amp;[2005]"/>
            <x15:cachedUniqueName index="1" name="[Table6].[Period].&amp;[2006]"/>
            <x15:cachedUniqueName index="2" name="[Table6].[Period].&amp;[2007]"/>
            <x15:cachedUniqueName index="3" name="[Table6].[Period].&amp;[2008]"/>
            <x15:cachedUniqueName index="4" name="[Table6].[Period].&amp;[2009]"/>
            <x15:cachedUniqueName index="5" name="[Table6].[Period].&amp;[2010]"/>
            <x15:cachedUniqueName index="6" name="[Table6].[Period].&amp;[2011]"/>
            <x15:cachedUniqueName index="7" name="[Table6].[Period].&amp;[2012]"/>
            <x15:cachedUniqueName index="8" name="[Table6].[Period].&amp;[2013]"/>
            <x15:cachedUniqueName index="9" name="[Table6].[Period].&amp;[2014]"/>
            <x15:cachedUniqueName index="10" name="[Table6].[Period].&amp;[2015]"/>
            <x15:cachedUniqueName index="11" name="[Table6].[Period].&amp;[2016]"/>
            <x15:cachedUniqueName index="12" name="[Table6].[Period].&amp;[2017]"/>
            <x15:cachedUniqueName index="13" name="[Table6].[Period].&amp;[2018]"/>
            <x15:cachedUniqueName index="14" name="[Table6].[Period].&amp;[2019]"/>
            <x15:cachedUniqueName index="15" name="[Table6].[Period].&amp;[2020]"/>
            <x15:cachedUniqueName index="16" name="[Table6].[Period].&amp;[2021]"/>
            <x15:cachedUniqueName index="17" name="[Table6].[Period].&amp;[2022]"/>
          </x15:cachedUniqueNames>
        </ext>
      </extLst>
    </cacheField>
    <cacheField name="[Measures].[Sum of Total Valid Birth Count 2]" caption="Sum of Total Valid Birth Count 2" numFmtId="0" hierarchy="71" level="32767"/>
  </cacheFields>
  <cacheHierarchies count="72">
    <cacheHierarchy uniqueName="[Table3].[Year]" caption="Year" attribute="1" defaultMemberUniqueName="[Table3].[Year].[All]" allUniqueName="[Table3].[Year].[All]" dimensionUniqueName="[Table3]" displayFolder="" count="0" memberValueDatatype="20" unbalanced="0"/>
    <cacheHierarchy uniqueName="[Table3].[Total Valid Birth Count]" caption="Total Valid Birth Count" attribute="1" defaultMemberUniqueName="[Table3].[Total Valid Birth Count].[All]" allUniqueName="[Table3].[Total Valid Birth Count].[All]" dimensionUniqueName="[Table3]" displayFolder="" count="0" memberValueDatatype="20" unbalanced="0"/>
    <cacheHierarchy uniqueName="[Table3].[Total mothers per year]" caption="Total mothers per year" attribute="1" defaultMemberUniqueName="[Table3].[Total mothers per year].[All]" allUniqueName="[Table3].[Total mothers per year].[All]" dimensionUniqueName="[Table3]" displayFolder="" count="0" memberValueDatatype="20" unbalanced="0"/>
    <cacheHierarchy uniqueName="[Table3].[Mothers with 2+ births per year]" caption="Mothers with 2+ births per year" attribute="1" defaultMemberUniqueName="[Table3].[Mothers with 2+ births per year].[All]" allUniqueName="[Table3].[Mothers with 2+ births per year].[All]" dimensionUniqueName="[Table3]" displayFolder="" count="0" memberValueDatatype="20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3].[% of mothers &lt; 20 years]" caption="% of mothers &lt; 20 years" attribute="1" defaultMemberUniqueName="[Table3].[% of mothers &lt; 20 years].[All]" allUniqueName="[Table3].[% of mothers &lt; 20 years].[All]" dimensionUniqueName="[Table3]" displayFolder="" count="0" memberValueDatatype="5" unbalanced="0"/>
    <cacheHierarchy uniqueName="[Table3].[% of mothers between 20 &amp; 39 years]" caption="% of mothers between 20 &amp; 39 years" attribute="1" defaultMemberUniqueName="[Table3].[% of mothers between 20 &amp; 39 years].[All]" allUniqueName="[Table3].[% of mothers between 20 &amp; 39 years].[All]" dimensionUniqueName="[Table3]" displayFolder="" count="0" memberValueDatatype="5" unbalanced="0"/>
    <cacheHierarchy uniqueName="[Table3].[% of mothers &gt; 40 years]" caption="% of mothers &gt; 40 years" attribute="1" defaultMemberUniqueName="[Table3].[% of mothers &gt; 40 years].[All]" allUniqueName="[Table3].[% of mothers &gt; 40 years].[All]" dimensionUniqueName="[Table3]" displayFolder="" count="0" memberValueDatatype="5" unbalanced="0"/>
    <cacheHierarchy uniqueName="[Table3].[Column2]" caption="Column2" attribute="1" defaultMemberUniqueName="[Table3].[Column2].[All]" allUniqueName="[Table3].[Column2].[All]" dimensionUniqueName="[Table3]" displayFolder="" count="0" memberValueDatatype="130" unbalanced="0"/>
    <cacheHierarchy uniqueName="[Table3].[% of mothers =/&gt; 20]" caption="% of mothers =/&gt; 20" attribute="1" defaultMemberUniqueName="[Table3].[% of mothers =/&gt; 20].[All]" allUniqueName="[Table3].[% of mothers =/&gt; 20].[All]" dimensionUniqueName="[Table3]" displayFolder="" count="0" memberValueDatatype="5" unbalanced="0"/>
    <cacheHierarchy uniqueName="[Table3].[Column3]" caption="Column3" attribute="1" defaultMemberUniqueName="[Table3].[Column3].[All]" allUniqueName="[Table3].[Column3].[All]" dimensionUniqueName="[Table3]" displayFolder="" count="0" memberValueDatatype="130" unbalanced="0"/>
    <cacheHierarchy uniqueName="[Table3].[Aging Maternal Metrics]" caption="Aging Maternal Metrics" attribute="1" defaultMemberUniqueName="[Table3].[Aging Maternal Metrics].[All]" allUniqueName="[Table3].[Aging Maternal Metrics].[All]" dimensionUniqueName="[Table3]" displayFolder="" count="0" memberValueDatatype="130" unbalanced="0"/>
    <cacheHierarchy uniqueName="[Table3].[Column4]" caption="Column4" attribute="1" defaultMemberUniqueName="[Table3].[Column4].[All]" allUniqueName="[Table3].[Column4].[All]" dimensionUniqueName="[Table3]" displayFolder="" count="0" memberValueDatatype="5" unbalanced="0"/>
    <cacheHierarchy uniqueName="[Table3].[Column5]" caption="Column5" attribute="1" defaultMemberUniqueName="[Table3].[Column5].[All]" allUniqueName="[Table3].[Column5].[All]" dimensionUniqueName="[Table3]" displayFolder="" count="0" memberValueDatatype="130" unbalanced="0"/>
    <cacheHierarchy uniqueName="[Table3].[Teen Pregnancy Metrics]" caption="Teen Pregnancy Metrics" attribute="1" defaultMemberUniqueName="[Table3].[Teen Pregnancy Metrics].[All]" allUniqueName="[Table3].[Teen Pregnancy Metrics].[All]" dimensionUniqueName="[Table3]" displayFolder="" count="0" memberValueDatatype="130" unbalanced="0"/>
    <cacheHierarchy uniqueName="[Table3].[Column6]" caption="Column6" attribute="1" defaultMemberUniqueName="[Table3].[Column6].[All]" allUniqueName="[Table3].[Column6].[All]" dimensionUniqueName="[Table3]" displayFolder="" count="0" memberValueDatatype="5" unbalanced="0"/>
    <cacheHierarchy uniqueName="[Table3].[Column7]" caption="Column7" attribute="1" defaultMemberUniqueName="[Table3].[Column7].[All]" allUniqueName="[Table3].[Column7].[All]" dimensionUniqueName="[Table3]" displayFolder="" count="0" memberValueDatatype="130" unbalanced="0"/>
    <cacheHierarchy uniqueName="[Table3].[Y-o-Y change]" caption="Y-o-Y change" attribute="1" defaultMemberUniqueName="[Table3].[Y-o-Y change].[All]" allUniqueName="[Table3].[Y-o-Y change].[All]" dimensionUniqueName="[Table3]" displayFolder="" count="0" memberValueDatatype="130" unbalanced="0"/>
    <cacheHierarchy uniqueName="[Table3].[Column8]" caption="Column8" attribute="1" defaultMemberUniqueName="[Table3].[Column8].[All]" allUniqueName="[Table3].[Column8].[All]" dimensionUniqueName="[Table3]" displayFolder="" count="0" memberValueDatatype="5" unbalanced="0"/>
    <cacheHierarchy uniqueName="[Table3].[Column9]" caption="Column9" attribute="1" defaultMemberUniqueName="[Table3].[Column9].[All]" allUniqueName="[Table3].[Column9].[All]" dimensionUniqueName="[Table3]" displayFolder="" count="0" memberValueDatatype="130" unbalanced="0"/>
    <cacheHierarchy uniqueName="[Table3].[Column10]" caption="Column10" attribute="1" defaultMemberUniqueName="[Table3].[Column10].[All]" allUniqueName="[Table3].[Column10].[All]" dimensionUniqueName="[Table3]" displayFolder="" count="0" memberValueDatatype="5" unbalanced="0"/>
    <cacheHierarchy uniqueName="[Table6].[Period]" caption="Period" attribute="1" defaultMemberUniqueName="[Table6].[Period].[All]" allUniqueName="[Table6].[Period].[All]" dimensionUniqueName="[Table6]" displayFolder="" count="2" memberValueDatatype="20" unbalanced="0">
      <fieldsUsage count="2">
        <fieldUsage x="-1"/>
        <fieldUsage x="0"/>
      </fieldsUsage>
    </cacheHierarchy>
    <cacheHierarchy uniqueName="[Table6].[Total Valid Birth Count]" caption="Total Valid Birth Count" attribute="1" defaultMemberUniqueName="[Table6].[Total Valid Birth Count].[All]" allUniqueName="[Table6].[Total Valid Birth Count].[All]" dimensionUniqueName="[Table6]" displayFolder="" count="0" memberValueDatatype="20" unbalanced="0"/>
    <cacheHierarchy uniqueName="[Table6].[Total mothers per year]" caption="Total mothers per year" attribute="1" defaultMemberUniqueName="[Table6].[Total mothers per year].[All]" allUniqueName="[Table6].[Total mothers per year].[All]" dimensionUniqueName="[Table6]" displayFolder="" count="0" memberValueDatatype="20" unbalanced="0"/>
    <cacheHierarchy uniqueName="[Table6].[Mothers with 2+ births per year]" caption="Mothers with 2+ births per year" attribute="1" defaultMemberUniqueName="[Table6].[Mothers with 2+ births per year].[All]" allUniqueName="[Table6].[Mothers with 2+ births per year].[All]" dimensionUniqueName="[Table6]" displayFolder="" count="0" memberValueDatatype="20" unbalanced="0"/>
    <cacheHierarchy uniqueName="[Table6].[Column1]" caption="Column1" attribute="1" defaultMemberUniqueName="[Table6].[Column1].[All]" allUniqueName="[Table6].[Column1].[All]" dimensionUniqueName="[Table6]" displayFolder="" count="0" memberValueDatatype="130" unbalanced="0"/>
    <cacheHierarchy uniqueName="[Table6].[% of mothers &lt; 20 years]" caption="% of mothers &lt; 20 years" attribute="1" defaultMemberUniqueName="[Table6].[% of mothers &lt; 20 years].[All]" allUniqueName="[Table6].[% of mothers &lt; 20 years].[All]" dimensionUniqueName="[Table6]" displayFolder="" count="0" memberValueDatatype="5" unbalanced="0"/>
    <cacheHierarchy uniqueName="[Table6].[% of mother &lt; 20 / 100]" caption="% of mother &lt; 20 / 100" attribute="1" defaultMemberUniqueName="[Table6].[% of mother &lt; 20 / 100].[All]" allUniqueName="[Table6].[% of mother &lt; 20 / 100].[All]" dimensionUniqueName="[Table6]" displayFolder="" count="0" memberValueDatatype="5" unbalanced="0"/>
    <cacheHierarchy uniqueName="[Table6].[Total_number of Mothers &lt;20 years]" caption="Total_number of Mothers &lt;20 years" attribute="1" defaultMemberUniqueName="[Table6].[Total_number of Mothers &lt;20 years].[All]" allUniqueName="[Table6].[Total_number of Mothers &lt;20 years].[All]" dimensionUniqueName="[Table6]" displayFolder="" count="0" memberValueDatatype="5" unbalanced="0"/>
    <cacheHierarchy uniqueName="[Table6].[% of mothers between 20 &amp; 39 years]" caption="% of mothers between 20 &amp; 39 years" attribute="1" defaultMemberUniqueName="[Table6].[% of mothers between 20 &amp; 39 years].[All]" allUniqueName="[Table6].[% of mothers between 20 &amp; 39 years].[All]" dimensionUniqueName="[Table6]" displayFolder="" count="0" memberValueDatatype="5" unbalanced="0"/>
    <cacheHierarchy uniqueName="[Table6].[% of mothers (20-39)/100]" caption="% of mothers (20-39)/100" attribute="1" defaultMemberUniqueName="[Table6].[% of mothers (20-39)/100].[All]" allUniqueName="[Table6].[% of mothers (20-39)/100].[All]" dimensionUniqueName="[Table6]" displayFolder="" count="0" memberValueDatatype="5" unbalanced="0"/>
    <cacheHierarchy uniqueName="[Table6].[Total_number of Mothers 20-39 years]" caption="Total_number of Mothers 20-39 years" attribute="1" defaultMemberUniqueName="[Table6].[Total_number of Mothers 20-39 years].[All]" allUniqueName="[Table6].[Total_number of Mothers 20-39 years].[All]" dimensionUniqueName="[Table6]" displayFolder="" count="0" memberValueDatatype="5" unbalanced="0"/>
    <cacheHierarchy uniqueName="[Table6].[% of mothers &gt; 40 years]" caption="% of mothers &gt; 40 years" attribute="1" defaultMemberUniqueName="[Table6].[% of mothers &gt; 40 years].[All]" allUniqueName="[Table6].[% of mothers &gt; 40 years].[All]" dimensionUniqueName="[Table6]" displayFolder="" count="0" memberValueDatatype="5" unbalanced="0"/>
    <cacheHierarchy uniqueName="[Table6].[% of mother &gt; 40 / 100]" caption="% of mother &gt; 40 / 100" attribute="1" defaultMemberUniqueName="[Table6].[% of mother &gt; 40 / 100].[All]" allUniqueName="[Table6].[% of mother &gt; 40 / 100].[All]" dimensionUniqueName="[Table6]" displayFolder="" count="0" memberValueDatatype="5" unbalanced="0"/>
    <cacheHierarchy uniqueName="[Table6].[Total_number of Mothers &gt;40 years]" caption="Total_number of Mothers &gt;40 years" attribute="1" defaultMemberUniqueName="[Table6].[Total_number of Mothers &gt;40 years].[All]" allUniqueName="[Table6].[Total_number of Mothers &gt;40 years].[All]" dimensionUniqueName="[Table6]" displayFolder="" count="0" memberValueDatatype="5" unbalanced="0"/>
    <cacheHierarchy uniqueName="[Table6].[Column2]" caption="Column2" attribute="1" defaultMemberUniqueName="[Table6].[Column2].[All]" allUniqueName="[Table6].[Column2].[All]" dimensionUniqueName="[Table6]" displayFolder="" count="0" memberValueDatatype="130" unbalanced="0"/>
    <cacheHierarchy uniqueName="[Table6].[% of mothers =/&gt; 20]" caption="% of mothers =/&gt; 20" attribute="1" defaultMemberUniqueName="[Table6].[% of mothers =/&gt; 20].[All]" allUniqueName="[Table6].[% of mothers =/&gt; 20].[All]" dimensionUniqueName="[Table6]" displayFolder="" count="0" memberValueDatatype="5" unbalanced="0"/>
    <cacheHierarchy uniqueName="[Table6].[Column3]" caption="Column3" attribute="1" defaultMemberUniqueName="[Table6].[Column3].[All]" allUniqueName="[Table6].[Column3].[All]" dimensionUniqueName="[Table6]" displayFolder="" count="0" memberValueDatatype="130" unbalanced="0"/>
    <cacheHierarchy uniqueName="[Table6].[Aging Maternal Metrics]" caption="Aging Maternal Metrics" attribute="1" defaultMemberUniqueName="[Table6].[Aging Maternal Metrics].[All]" allUniqueName="[Table6].[Aging Maternal Metrics].[All]" dimensionUniqueName="[Table6]" displayFolder="" count="0" memberValueDatatype="130" unbalanced="0"/>
    <cacheHierarchy uniqueName="[Table6].[Column4]" caption="Column4" attribute="1" defaultMemberUniqueName="[Table6].[Column4].[All]" allUniqueName="[Table6].[Column4].[All]" dimensionUniqueName="[Table6]" displayFolder="" count="0" memberValueDatatype="5" unbalanced="0"/>
    <cacheHierarchy uniqueName="[Table6].[Column5]" caption="Column5" attribute="1" defaultMemberUniqueName="[Table6].[Column5].[All]" allUniqueName="[Table6].[Column5].[All]" dimensionUniqueName="[Table6]" displayFolder="" count="0" memberValueDatatype="130" unbalanced="0"/>
    <cacheHierarchy uniqueName="[Table6].[Teen Pregnancy Metrics]" caption="Teen Pregnancy Metrics" attribute="1" defaultMemberUniqueName="[Table6].[Teen Pregnancy Metrics].[All]" allUniqueName="[Table6].[Teen Pregnancy Metrics].[All]" dimensionUniqueName="[Table6]" displayFolder="" count="0" memberValueDatatype="130" unbalanced="0"/>
    <cacheHierarchy uniqueName="[Table6].[Column6]" caption="Column6" attribute="1" defaultMemberUniqueName="[Table6].[Column6].[All]" allUniqueName="[Table6].[Column6].[All]" dimensionUniqueName="[Table6]" displayFolder="" count="0" memberValueDatatype="5" unbalanced="0"/>
    <cacheHierarchy uniqueName="[Table6].[Column7]" caption="Column7" attribute="1" defaultMemberUniqueName="[Table6].[Column7].[All]" allUniqueName="[Table6].[Column7].[All]" dimensionUniqueName="[Table6]" displayFolder="" count="0" memberValueDatatype="130" unbalanced="0"/>
    <cacheHierarchy uniqueName="[Table6].[Y-o-Y change]" caption="Y-o-Y change" attribute="1" defaultMemberUniqueName="[Table6].[Y-o-Y change].[All]" allUniqueName="[Table6].[Y-o-Y change].[All]" dimensionUniqueName="[Table6]" displayFolder="" count="0" memberValueDatatype="130" unbalanced="0"/>
    <cacheHierarchy uniqueName="[Table6].[Column8]" caption="Column8" attribute="1" defaultMemberUniqueName="[Table6].[Column8].[All]" allUniqueName="[Table6].[Column8].[All]" dimensionUniqueName="[Table6]" displayFolder="" count="0" memberValueDatatype="5" unbalanced="0"/>
    <cacheHierarchy uniqueName="[Table6].[Column9]" caption="Column9" attribute="1" defaultMemberUniqueName="[Table6].[Column9].[All]" allUniqueName="[Table6].[Column9].[All]" dimensionUniqueName="[Table6]" displayFolder="" count="0" memberValueDatatype="130" unbalanced="0"/>
    <cacheHierarchy uniqueName="[Table6].[Column10]" caption="Column10" attribute="1" defaultMemberUniqueName="[Table6].[Column10].[All]" allUniqueName="[Table6].[Column10].[All]" dimensionUniqueName="[Table6]" displayFolder="" count="0" memberValueDatatype="5" unbalanced="0"/>
    <cacheHierarchy uniqueName="[Table7].[Period]" caption="Period" attribute="1" defaultMemberUniqueName="[Table7].[Period].[All]" allUniqueName="[Table7].[Period].[All]" dimensionUniqueName="[Table7]" displayFolder="" count="0" memberValueDatatype="20" unbalanced="0"/>
    <cacheHierarchy uniqueName="[Table7].[Birth_Death]" caption="Birth_Death" attribute="1" defaultMemberUniqueName="[Table7].[Birth_Death].[All]" allUniqueName="[Table7].[Birth_Death].[All]" dimensionUniqueName="[Table7]" displayFolder="" count="0" memberValueDatatype="130" unbalanced="0"/>
    <cacheHierarchy uniqueName="[Table7].[Region]" caption="Region" attribute="1" defaultMemberUniqueName="[Table7].[Region].[All]" allUniqueName="[Table7].[Region].[All]" dimensionUniqueName="[Table7]" displayFolder="" count="0" memberValueDatatype="130" unbalanced="0"/>
    <cacheHierarchy uniqueName="[Table7].[Count]" caption="Count" attribute="1" defaultMemberUniqueName="[Table7].[Count].[All]" allUniqueName="[Table7].[Count].[All]" dimensionUniqueName="[Table7]" displayFolder="" count="0" memberValueDatatype="20" unbalanced="0"/>
    <cacheHierarchy uniqueName="[Measures].[__XL_Count Table7]" caption="__XL_Count Table7" measure="1" displayFolder="" measureGroup="Table7" count="0" hidden="1"/>
    <cacheHierarchy uniqueName="[Measures].[__XL_Count Table6]" caption="__XL_Count Table6" measure="1" displayFolder="" measureGroup="Table6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% of mothers &lt; 20 years]" caption="Sum of % of mothers &lt; 20 years" measure="1" displayFolder="" measureGroup="Table6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% of mothers &lt; 20 years]" caption="Count of % of mothers &lt; 20 years" measure="1" displayFolder="" measureGroup="Table6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ax of % of mothers &lt; 20 years]" caption="Max of % of mothers &lt; 20 years" measure="1" displayFolder="" measureGroup="Table6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% of mothers &lt; 20 years]" caption="Average of % of mothers &lt; 20 years" measure="1" displayFolder="" measureGroup="Table6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eriod]" caption="Sum of Period" measure="1" displayFolder="" measureGroup="Table6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 Valid Birth Count]" caption="Sum of Total Valid Birth Count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otal Valid Birth Count]" caption="Average of Total Valid Birth Count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 Valid Birth Count]" caption="Count of Total Valid Birth Count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Total Valid Birth Count]" caption="Distinct Count of Total Valid Birth Count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_number of Mothers &gt;40 years]" caption="Sum of Total_number of Mothers &gt;40 years" measure="1" displayFolder="" measureGroup="Table6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otal mothers per year]" caption="Sum of Total mothers per year" measure="1" displayFolder="" measureGroup="Table6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Total mothers per year]" caption="Count of Total mothers per year" measure="1" displayFolder="" measureGroup="Table6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_number of Mothers &lt;20 years]" caption="Sum of Total_number of Mothers &lt;20 years" measure="1" displayFolder="" measureGroup="Table6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olumn4]" caption="Sum of Column4" measure="1" displayFolder="" measureGroup="Table3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Year]" caption="Sum of Year" measure="1" displayFolder="" measureGroup="Table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 Valid Birth Count 2]" caption="Sum of Total Valid Birth Count 2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4">
    <dimension measure="1" name="Measures" uniqueName="[Measures]" caption="Measures"/>
    <dimension name="Table3" uniqueName="[Table3]" caption="Table3"/>
    <dimension name="Table6" uniqueName="[Table6]" caption="Table6"/>
    <dimension name="Table7" uniqueName="[Table7]" caption="Table7"/>
  </dimensions>
  <measureGroups count="3">
    <measureGroup name="Table3" caption="Table3"/>
    <measureGroup name="Table6" caption="Table6"/>
    <measureGroup name="Table7" caption="Table7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57738"/>
    <n v="63"/>
    <m/>
    <n v="7.1599293359659146"/>
    <n v="7.1599293359659144E-2"/>
    <x v="0"/>
    <n v="89.213343032318406"/>
    <n v="0.89213343032318404"/>
    <n v="51510"/>
    <n v="3.6267276317156809"/>
    <n v="3.6267276317156809E-2"/>
    <n v="2094"/>
    <m/>
    <n v="92.840070664034087"/>
    <m/>
    <s v="Mothers &gt; 40 2005 (%)"/>
    <n v="3.6267276317156809"/>
    <m/>
    <s v="Teen Mother in 2005 (%)"/>
    <n v="7.1599293359659146"/>
    <m/>
    <s v="YoY change - Mothers &gt; 40"/>
    <n v="2.2352496002123967E-2"/>
    <s v="YoY change - Teen Mothers"/>
    <n v="0.22945792266263965"/>
  </r>
  <r>
    <x v="1"/>
    <x v="1"/>
    <n v="59193"/>
    <n v="135"/>
    <m/>
    <n v="7.3893872586285543"/>
    <n v="7.3893872586285547E-2"/>
    <x v="1"/>
    <n v="88.961532613653631"/>
    <n v="0.88961532613653627"/>
    <n v="52658.999999999993"/>
    <n v="3.6490801277178049"/>
    <n v="3.6490801277178048E-2"/>
    <n v="2160"/>
    <m/>
    <n v="92.61061274137144"/>
    <m/>
    <s v="Mothers &gt; 40 2022 (%)"/>
    <n v="4.0399409037648377"/>
    <m/>
    <s v="Teen Mother in 2022 (%)"/>
    <n v="2.9191502368943909"/>
    <m/>
    <m/>
    <n v="6.5727573598539646E-2"/>
    <m/>
    <n v="0.34472057853826055"/>
  </r>
  <r>
    <x v="2"/>
    <x v="2"/>
    <n v="64041"/>
    <n v="168"/>
    <m/>
    <n v="7.7341078371668148"/>
    <n v="7.7341078371668148E-2"/>
    <x v="2"/>
    <n v="88.551084461516837"/>
    <n v="0.88551084461516838"/>
    <n v="56709"/>
    <n v="3.7148077013163445"/>
    <n v="3.7148077013163444E-2"/>
    <n v="2379"/>
    <m/>
    <n v="92.265892162833183"/>
    <m/>
    <s v="Absolute Change (% point)"/>
    <n v="0.41321327204915681"/>
    <m/>
    <s v="Absolute Decline (% point)"/>
    <n v="4.2407790990715242"/>
    <m/>
    <m/>
    <n v="-1.2658216539918943E-2"/>
    <m/>
    <n v="0.38357762000668227"/>
  </r>
  <r>
    <x v="3"/>
    <x v="3"/>
    <n v="64341"/>
    <n v="63"/>
    <m/>
    <n v="8.1176854571734971"/>
    <n v="8.1176854571734972E-2"/>
    <x v="3"/>
    <n v="88.180165058050079"/>
    <n v="0.88180165058050075"/>
    <n v="56736"/>
    <n v="3.7021494847764256"/>
    <n v="3.7021494847764257E-2"/>
    <n v="2382"/>
    <m/>
    <n v="91.882314542826506"/>
    <m/>
    <s v="Relative change (%)"/>
    <n v="11.393556782031622"/>
    <m/>
    <s v="Relative Decline(%)"/>
    <n v="59.229342917801567"/>
    <m/>
    <m/>
    <n v="0.22647333865140551"/>
    <m/>
    <n v="-0.64898492472278413"/>
  </r>
  <r>
    <x v="4"/>
    <x v="4"/>
    <n v="62541"/>
    <n v="84"/>
    <m/>
    <n v="7.468700532450713"/>
    <n v="7.468700532450713E-2"/>
    <x v="4"/>
    <n v="88.602676644121459"/>
    <n v="0.88602676644121459"/>
    <n v="55413"/>
    <n v="3.9286228234278311"/>
    <n v="3.9286228234278311E-2"/>
    <n v="2457"/>
    <m/>
    <n v="92.531299467549289"/>
    <m/>
    <s v="Average annual change(% point)"/>
    <n v="2.4306663061715108E-2"/>
    <m/>
    <s v="Average Annual Decline (% point)"/>
    <n v="0.24945759406303084"/>
    <m/>
    <m/>
    <n v="0.17504888283566755"/>
    <m/>
    <n v="-0.34596600338695094"/>
  </r>
  <r>
    <x v="5"/>
    <x v="5"/>
    <n v="63894"/>
    <n v="81"/>
    <m/>
    <n v="7.122734529063762"/>
    <n v="7.1227345290637623E-2"/>
    <x v="5"/>
    <n v="88.773593764672739"/>
    <n v="0.88773593764672742"/>
    <n v="56721"/>
    <n v="4.1036717062634986"/>
    <n v="4.1036717062634988E-2"/>
    <n v="2622"/>
    <m/>
    <n v="92.877265470936237"/>
    <m/>
    <s v="Actual Birth to Mother &gt; 40 in 2005"/>
    <n v="2091.7151615920188"/>
    <m/>
    <s v="Actual Teen Birth in 2005"/>
    <n v="4129.4892445183414"/>
    <m/>
    <m/>
    <n v="3.9380863601657268E-2"/>
    <m/>
    <n v="-0.5954724614460174"/>
  </r>
  <r>
    <x v="6"/>
    <x v="6"/>
    <n v="61404"/>
    <n v="24"/>
    <m/>
    <n v="6.5272620676177446"/>
    <n v="6.5272620676177451E-2"/>
    <x v="6"/>
    <n v="89.329685362517097"/>
    <n v="0.89329685362517097"/>
    <n v="54852"/>
    <n v="4.1430525698651559"/>
    <n v="4.1430525698651556E-2"/>
    <n v="2544"/>
    <m/>
    <n v="93.472737932382259"/>
    <m/>
    <s v="Actual Birth to Mother &gt; 40 in 2022"/>
    <n v="2378.7576035457741"/>
    <m/>
    <s v="Actual Teen Birth in 2005"/>
    <n v="1718.8248509857863"/>
    <m/>
    <m/>
    <n v="0.1623463415260078"/>
    <m/>
    <n v="-0.33886408791882872"/>
  </r>
  <r>
    <x v="7"/>
    <x v="7"/>
    <n v="61179"/>
    <n v="15"/>
    <m/>
    <n v="6.1883979796989159"/>
    <n v="6.1883979796989161E-2"/>
    <x v="7"/>
    <n v="89.506203108909915"/>
    <n v="0.8950620310890991"/>
    <n v="54758.999999999993"/>
    <n v="4.3053989113911637"/>
    <n v="4.3053989113911638E-2"/>
    <n v="2634"/>
    <m/>
    <n v="93.811602020301081"/>
    <m/>
    <m/>
    <m/>
    <m/>
    <s v="Reduction in  Teen Birth "/>
    <n v="2410.6643935325551"/>
    <m/>
    <m/>
    <n v="9.3068521559027673E-2"/>
    <m/>
    <n v="-0.56387690690198067"/>
  </r>
  <r>
    <x v="8"/>
    <x v="8"/>
    <n v="58725"/>
    <n v="24"/>
    <m/>
    <n v="5.6245210727969353"/>
    <n v="5.6245210727969355E-2"/>
    <x v="8"/>
    <n v="89.977011494252878"/>
    <n v="0.89977011494252879"/>
    <n v="52839"/>
    <n v="4.3984674329501914"/>
    <n v="4.3984674329501913E-2"/>
    <n v="2583"/>
    <m/>
    <n v="94.375478927203062"/>
    <m/>
    <s v="Year with largest increase in mothers &gt; 40"/>
    <n v="2013"/>
    <m/>
    <s v="% Reduction actual Teen Birth"/>
    <n v="58.376817344483293"/>
    <m/>
    <m/>
    <n v="-0.10077351261476153"/>
    <m/>
    <n v="-0.51969926986192494"/>
  </r>
  <r>
    <x v="9"/>
    <x v="9"/>
    <n v="57240"/>
    <n v="21"/>
    <m/>
    <n v="5.1048218029350103"/>
    <n v="5.1048218029350105E-2"/>
    <x v="9"/>
    <n v="90.59748427672956"/>
    <n v="0.90597484276729556"/>
    <n v="51858"/>
    <n v="4.2976939203354299"/>
    <n v="4.2976939203354297E-2"/>
    <n v="2460"/>
    <m/>
    <n v="94.895178197064993"/>
    <m/>
    <s v="Year with lowest number of mothers &gt; 40"/>
    <n v="2005"/>
    <m/>
    <m/>
    <m/>
    <m/>
    <m/>
    <n v="-0.1349180811453774"/>
    <m/>
    <n v="-0.41125518377739478"/>
  </r>
  <r>
    <x v="10"/>
    <x v="10"/>
    <n v="61041"/>
    <n v="12"/>
    <m/>
    <n v="4.6935666191576155"/>
    <n v="4.6935666191576159E-2"/>
    <x v="10"/>
    <n v="91.143657541652331"/>
    <n v="0.91143657541652334"/>
    <n v="55635"/>
    <n v="4.1627758391900525"/>
    <n v="4.1627758391900527E-2"/>
    <n v="2541"/>
    <m/>
    <n v="95.306433380842378"/>
    <m/>
    <m/>
    <m/>
    <m/>
    <s v="Year with the largest decrease in teen mothers"/>
    <n v="2021"/>
    <m/>
    <m/>
    <n v="-0.10926751006334889"/>
    <m/>
    <n v="-0.5189073561591302"/>
  </r>
  <r>
    <x v="11"/>
    <x v="11"/>
    <n v="59430"/>
    <n v="24"/>
    <m/>
    <n v="4.1746592629984853"/>
    <n v="4.1746592629984855E-2"/>
    <x v="11"/>
    <n v="91.771832407874811"/>
    <n v="0.91771832407874809"/>
    <n v="54540"/>
    <n v="4.0535083291267036"/>
    <n v="4.0535083291267038E-2"/>
    <n v="2409"/>
    <m/>
    <n v="95.825340737001511"/>
    <m/>
    <m/>
    <m/>
    <m/>
    <s v="Year with the highest number of teen mothers"/>
    <n v="2008"/>
    <m/>
    <m/>
    <n v="4.3119753409784245E-2"/>
    <m/>
    <n v="-0.28940511101056376"/>
  </r>
  <r>
    <x v="12"/>
    <x v="12"/>
    <n v="59610"/>
    <n v="15"/>
    <m/>
    <n v="3.8852541519879216"/>
    <n v="3.8852541519879213E-2"/>
    <x v="12"/>
    <n v="92.018117765475594"/>
    <n v="0.92018117765475593"/>
    <n v="54852"/>
    <n v="4.0966280825364878"/>
    <n v="4.0966280825364881E-2"/>
    <n v="2442.0000000000005"/>
    <m/>
    <n v="96.114745848012078"/>
    <m/>
    <m/>
    <m/>
    <m/>
    <m/>
    <m/>
    <m/>
    <m/>
    <n v="-0.13592487674538134"/>
    <m/>
    <n v="-0.30717762665183068"/>
  </r>
  <r>
    <x v="13"/>
    <x v="13"/>
    <n v="58020"/>
    <n v="24"/>
    <m/>
    <n v="3.5780765253360909"/>
    <n v="3.5780765253360908E-2"/>
    <x v="13"/>
    <n v="92.461220268872808"/>
    <n v="0.92461220268872812"/>
    <n v="53646.000000000007"/>
    <n v="3.9607032057911065"/>
    <n v="3.9607032057911065E-2"/>
    <n v="2298"/>
    <m/>
    <n v="96.421923474663913"/>
    <m/>
    <m/>
    <m/>
    <m/>
    <m/>
    <m/>
    <m/>
    <m/>
    <n v="9.8448748335949965E-2"/>
    <m/>
    <n v="-0.23317435743709192"/>
  </r>
  <r>
    <x v="14"/>
    <x v="14"/>
    <n v="59643"/>
    <n v="30"/>
    <m/>
    <n v="3.344902167898999"/>
    <n v="3.3449021678989992E-2"/>
    <x v="14"/>
    <n v="92.595945877973946"/>
    <n v="0.92595945877973951"/>
    <n v="55227"/>
    <n v="4.0591519541270564"/>
    <n v="4.0591519541270563E-2"/>
    <n v="2421"/>
    <m/>
    <n v="96.655097832101006"/>
    <m/>
    <m/>
    <m/>
    <m/>
    <m/>
    <m/>
    <m/>
    <m/>
    <n v="-0.15107004073015151"/>
    <m/>
    <n v="-5.6902584761069797E-2"/>
  </r>
  <r>
    <x v="15"/>
    <x v="15"/>
    <n v="57573"/>
    <n v="27"/>
    <m/>
    <n v="3.2879995831379292"/>
    <n v="3.2879995831379294E-2"/>
    <x v="15"/>
    <n v="92.803918503465169"/>
    <n v="0.92803918503465166"/>
    <n v="53430"/>
    <n v="3.9080819133969049"/>
    <n v="3.9080819133969047E-2"/>
    <n v="2250"/>
    <m/>
    <n v="96.712000416862068"/>
    <m/>
    <m/>
    <m/>
    <m/>
    <m/>
    <m/>
    <m/>
    <m/>
    <n v="-9.8509403681216412E-2"/>
    <m/>
    <n v="-0.56760686479061873"/>
  </r>
  <r>
    <x v="16"/>
    <x v="16"/>
    <n v="58668"/>
    <n v="21"/>
    <m/>
    <n v="2.7203927183473104"/>
    <n v="2.7203927183473104E-2"/>
    <x v="16"/>
    <n v="93.470034771937009"/>
    <n v="0.93470034771937005"/>
    <n v="54837"/>
    <n v="3.8095725097156885"/>
    <n v="3.8095725097156884E-2"/>
    <n v="2235"/>
    <m/>
    <n v="97.279607281652702"/>
    <m/>
    <m/>
    <m/>
    <m/>
    <m/>
    <m/>
    <m/>
    <m/>
    <n v="0.23036839404914922"/>
    <m/>
    <n v="0.19875751854708046"/>
  </r>
  <r>
    <x v="17"/>
    <x v="17"/>
    <n v="58887"/>
    <n v="6"/>
    <m/>
    <n v="2.9191502368943909"/>
    <n v="2.9191502368943908E-2"/>
    <x v="17"/>
    <n v="93.040908859340774"/>
    <n v="0.93040908859340776"/>
    <n v="54789"/>
    <n v="4.0399409037648377"/>
    <n v="4.0399409037648375E-2"/>
    <n v="2379"/>
    <m/>
    <n v="97.080849763105618"/>
    <m/>
    <m/>
    <m/>
    <m/>
    <m/>
    <m/>
    <m/>
    <m/>
    <n v="-4.0399409037648377"/>
    <m/>
    <n v="-2.91915023689439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8">
  <r>
    <n v="2005"/>
    <s v="Births"/>
    <s v="Northland region"/>
    <n v="2067"/>
  </r>
  <r>
    <n v="2005"/>
    <s v="Births"/>
    <s v="Auckland region"/>
    <n v="20745"/>
  </r>
  <r>
    <n v="2005"/>
    <s v="Births"/>
    <s v="Waikato region"/>
    <n v="5667"/>
  </r>
  <r>
    <n v="2005"/>
    <s v="Births"/>
    <s v="Bay of Plenty region"/>
    <n v="3771"/>
  </r>
  <r>
    <n v="2005"/>
    <s v="Births"/>
    <s v="Gisborne region"/>
    <n v="777"/>
  </r>
  <r>
    <n v="2005"/>
    <s v="Births"/>
    <s v="Hawke's Bay region"/>
    <n v="2115"/>
  </r>
  <r>
    <n v="2005"/>
    <s v="Births"/>
    <s v="Taranaki region"/>
    <n v="1410"/>
  </r>
  <r>
    <n v="2005"/>
    <s v="Births"/>
    <s v="Manawatu-Wanganui region"/>
    <n v="3093"/>
  </r>
  <r>
    <n v="2005"/>
    <s v="Births"/>
    <s v="Wellington region"/>
    <n v="6225"/>
  </r>
  <r>
    <n v="2005"/>
    <s v="Births"/>
    <s v="Tasman region"/>
    <n v="513"/>
  </r>
  <r>
    <n v="2005"/>
    <s v="Births"/>
    <s v="Nelson region"/>
    <n v="519"/>
  </r>
  <r>
    <n v="2005"/>
    <s v="Births"/>
    <s v="Marlborough region"/>
    <n v="471"/>
  </r>
  <r>
    <n v="2005"/>
    <s v="Births"/>
    <s v="West Coast region"/>
    <n v="336"/>
  </r>
  <r>
    <n v="2005"/>
    <s v="Births"/>
    <s v="Canterbury region"/>
    <n v="6603"/>
  </r>
  <r>
    <n v="2005"/>
    <s v="Births"/>
    <s v="Otago region"/>
    <n v="2151"/>
  </r>
  <r>
    <n v="2005"/>
    <s v="Births"/>
    <s v="Southland region"/>
    <n v="1212"/>
  </r>
  <r>
    <n v="2005"/>
    <s v="Births"/>
    <s v="Region not stated or_x000a_area outside region"/>
    <n v="57"/>
  </r>
  <r>
    <n v="2005"/>
    <s v="Births"/>
    <s v="New Zealand"/>
    <n v="57747"/>
  </r>
  <r>
    <n v="2005"/>
    <s v="Deaths"/>
    <s v="Northland region"/>
    <n v="1167"/>
  </r>
  <r>
    <n v="2005"/>
    <s v="Deaths"/>
    <s v="Auckland region"/>
    <n v="6873"/>
  </r>
  <r>
    <n v="2005"/>
    <s v="Deaths"/>
    <s v="Waikato region"/>
    <n v="2520"/>
  </r>
  <r>
    <n v="2005"/>
    <s v="Deaths"/>
    <s v="Bay of Plenty region"/>
    <n v="1956"/>
  </r>
  <r>
    <n v="2005"/>
    <s v="Deaths"/>
    <s v="Gisborne region"/>
    <n v="375"/>
  </r>
  <r>
    <n v="2005"/>
    <s v="Deaths"/>
    <s v="Hawke's Bay region"/>
    <n v="1278"/>
  </r>
  <r>
    <n v="2005"/>
    <s v="Deaths"/>
    <s v="Taranaki region"/>
    <n v="909"/>
  </r>
  <r>
    <n v="2005"/>
    <s v="Deaths"/>
    <s v="Manawatu-Wanganui region"/>
    <n v="1836"/>
  </r>
  <r>
    <n v="2005"/>
    <s v="Deaths"/>
    <s v="Wellington region"/>
    <n v="2745"/>
  </r>
  <r>
    <n v="2005"/>
    <s v="Deaths"/>
    <s v="Tasman region"/>
    <n v="315"/>
  </r>
  <r>
    <n v="2005"/>
    <s v="Deaths"/>
    <s v="Nelson region"/>
    <n v="345"/>
  </r>
  <r>
    <n v="2005"/>
    <s v="Deaths"/>
    <s v="Marlborough region"/>
    <n v="372"/>
  </r>
  <r>
    <n v="2005"/>
    <s v="Deaths"/>
    <s v="West Coast region"/>
    <n v="243"/>
  </r>
  <r>
    <n v="2005"/>
    <s v="Deaths"/>
    <s v="Canterbury region"/>
    <n v="3816"/>
  </r>
  <r>
    <n v="2005"/>
    <s v="Deaths"/>
    <s v="Otago region"/>
    <n v="1428"/>
  </r>
  <r>
    <n v="2005"/>
    <s v="Deaths"/>
    <s v="Southland region"/>
    <n v="723"/>
  </r>
  <r>
    <n v="2005"/>
    <s v="Deaths"/>
    <s v="Region not stated or_x000a_area outside region"/>
    <n v="129"/>
  </r>
  <r>
    <n v="2005"/>
    <s v="Deaths"/>
    <s v="New Zealand"/>
    <n v="27033"/>
  </r>
  <r>
    <n v="2006"/>
    <s v="Births"/>
    <s v="Northland region"/>
    <n v="2244"/>
  </r>
  <r>
    <n v="2006"/>
    <s v="Births"/>
    <s v="Auckland region"/>
    <n v="21333"/>
  </r>
  <r>
    <n v="2006"/>
    <s v="Births"/>
    <s v="Waikato region"/>
    <n v="5592"/>
  </r>
  <r>
    <n v="2006"/>
    <s v="Births"/>
    <s v="Bay of Plenty region"/>
    <n v="3840"/>
  </r>
  <r>
    <n v="2006"/>
    <s v="Births"/>
    <s v="Gisborne region"/>
    <n v="720"/>
  </r>
  <r>
    <n v="2006"/>
    <s v="Births"/>
    <s v="Hawke's Bay region"/>
    <n v="2163"/>
  </r>
  <r>
    <n v="2006"/>
    <s v="Births"/>
    <s v="Taranaki region"/>
    <n v="1455"/>
  </r>
  <r>
    <n v="2006"/>
    <s v="Births"/>
    <s v="Manawatu-Wanganui region"/>
    <n v="3165"/>
  </r>
  <r>
    <n v="2006"/>
    <s v="Births"/>
    <s v="Wellington region"/>
    <n v="6441"/>
  </r>
  <r>
    <n v="2006"/>
    <s v="Births"/>
    <s v="Tasman region"/>
    <n v="549"/>
  </r>
  <r>
    <n v="2006"/>
    <s v="Births"/>
    <s v="Nelson region"/>
    <n v="522"/>
  </r>
  <r>
    <n v="2006"/>
    <s v="Births"/>
    <s v="Marlborough region"/>
    <n v="486"/>
  </r>
  <r>
    <n v="2006"/>
    <s v="Births"/>
    <s v="West Coast region"/>
    <n v="390"/>
  </r>
  <r>
    <n v="2006"/>
    <s v="Births"/>
    <s v="Canterbury region"/>
    <n v="6777"/>
  </r>
  <r>
    <n v="2006"/>
    <s v="Births"/>
    <s v="Otago region"/>
    <n v="2148"/>
  </r>
  <r>
    <n v="2006"/>
    <s v="Births"/>
    <s v="Southland region"/>
    <n v="1233"/>
  </r>
  <r>
    <n v="2006"/>
    <s v="Births"/>
    <s v="Region not stated or_x000a_area outside region"/>
    <n v="135"/>
  </r>
  <r>
    <n v="2006"/>
    <s v="Births"/>
    <s v="New Zealand"/>
    <n v="59193"/>
  </r>
  <r>
    <n v="2006"/>
    <s v="Deaths"/>
    <s v="Northland region"/>
    <n v="1164"/>
  </r>
  <r>
    <n v="2006"/>
    <s v="Deaths"/>
    <s v="Auckland region"/>
    <n v="7152"/>
  </r>
  <r>
    <n v="2006"/>
    <s v="Deaths"/>
    <s v="Waikato region"/>
    <n v="2754"/>
  </r>
  <r>
    <n v="2006"/>
    <s v="Deaths"/>
    <s v="Bay of Plenty region"/>
    <n v="2151"/>
  </r>
  <r>
    <n v="2006"/>
    <s v="Deaths"/>
    <s v="Gisborne region"/>
    <n v="438"/>
  </r>
  <r>
    <n v="2006"/>
    <s v="Deaths"/>
    <s v="Hawke's Bay region"/>
    <n v="1251"/>
  </r>
  <r>
    <n v="2006"/>
    <s v="Deaths"/>
    <s v="Taranaki region"/>
    <n v="858"/>
  </r>
  <r>
    <n v="2006"/>
    <s v="Deaths"/>
    <s v="Manawatu-Wanganui region"/>
    <n v="1965"/>
  </r>
  <r>
    <n v="2006"/>
    <s v="Deaths"/>
    <s v="Wellington region"/>
    <n v="2826"/>
  </r>
  <r>
    <n v="2006"/>
    <s v="Deaths"/>
    <s v="Tasman region"/>
    <n v="342"/>
  </r>
  <r>
    <n v="2006"/>
    <s v="Deaths"/>
    <s v="Nelson region"/>
    <n v="366"/>
  </r>
  <r>
    <n v="2006"/>
    <s v="Deaths"/>
    <s v="Marlborough region"/>
    <n v="360"/>
  </r>
  <r>
    <n v="2006"/>
    <s v="Deaths"/>
    <s v="West Coast region"/>
    <n v="240"/>
  </r>
  <r>
    <n v="2006"/>
    <s v="Deaths"/>
    <s v="Canterbury region"/>
    <n v="4014"/>
  </r>
  <r>
    <n v="2006"/>
    <s v="Deaths"/>
    <s v="Otago region"/>
    <n v="1458"/>
  </r>
  <r>
    <n v="2006"/>
    <s v="Deaths"/>
    <s v="Southland region"/>
    <n v="765"/>
  </r>
  <r>
    <n v="2006"/>
    <s v="Deaths"/>
    <s v="Region not stated or_x000a_area outside region"/>
    <n v="135"/>
  </r>
  <r>
    <n v="2006"/>
    <s v="Deaths"/>
    <s v="New Zealand"/>
    <n v="28245"/>
  </r>
  <r>
    <n v="2007"/>
    <s v="Births"/>
    <s v="Northland region"/>
    <n v="2322"/>
  </r>
  <r>
    <n v="2007"/>
    <s v="Births"/>
    <s v="Auckland region"/>
    <n v="23007"/>
  </r>
  <r>
    <n v="2007"/>
    <s v="Births"/>
    <s v="Waikato region"/>
    <n v="6231"/>
  </r>
  <r>
    <n v="2007"/>
    <s v="Births"/>
    <s v="Bay of Plenty region"/>
    <n v="4053"/>
  </r>
  <r>
    <n v="2007"/>
    <s v="Births"/>
    <s v="Gisborne region"/>
    <n v="801"/>
  </r>
  <r>
    <n v="2007"/>
    <s v="Births"/>
    <s v="Hawke's Bay region"/>
    <n v="2319"/>
  </r>
  <r>
    <n v="2007"/>
    <s v="Births"/>
    <s v="Taranaki region"/>
    <n v="1611"/>
  </r>
  <r>
    <n v="2007"/>
    <s v="Births"/>
    <s v="Manawatu-Wanganui region"/>
    <n v="3297"/>
  </r>
  <r>
    <n v="2007"/>
    <s v="Births"/>
    <s v="Wellington region"/>
    <n v="6876"/>
  </r>
  <r>
    <n v="2007"/>
    <s v="Births"/>
    <s v="Tasman region"/>
    <n v="552"/>
  </r>
  <r>
    <n v="2007"/>
    <s v="Births"/>
    <s v="Nelson region"/>
    <n v="639"/>
  </r>
  <r>
    <n v="2007"/>
    <s v="Births"/>
    <s v="Marlborough region"/>
    <n v="513"/>
  </r>
  <r>
    <n v="2007"/>
    <s v="Births"/>
    <s v="West Coast region"/>
    <n v="405"/>
  </r>
  <r>
    <n v="2007"/>
    <s v="Births"/>
    <s v="Canterbury region"/>
    <n v="7548"/>
  </r>
  <r>
    <n v="2007"/>
    <s v="Births"/>
    <s v="Otago region"/>
    <n v="2349"/>
  </r>
  <r>
    <n v="2007"/>
    <s v="Births"/>
    <s v="Southland region"/>
    <n v="1350"/>
  </r>
  <r>
    <n v="2007"/>
    <s v="Births"/>
    <s v="Region not stated or_x000a_area outside region"/>
    <n v="174"/>
  </r>
  <r>
    <n v="2007"/>
    <s v="Births"/>
    <s v="New Zealand"/>
    <n v="64044"/>
  </r>
  <r>
    <n v="2007"/>
    <s v="Deaths"/>
    <s v="Northland region"/>
    <n v="1224"/>
  </r>
  <r>
    <n v="2007"/>
    <s v="Deaths"/>
    <s v="Auckland region"/>
    <n v="7218"/>
  </r>
  <r>
    <n v="2007"/>
    <s v="Deaths"/>
    <s v="Waikato region"/>
    <n v="2787"/>
  </r>
  <r>
    <n v="2007"/>
    <s v="Deaths"/>
    <s v="Bay of Plenty region"/>
    <n v="2139"/>
  </r>
  <r>
    <n v="2007"/>
    <s v="Deaths"/>
    <s v="Gisborne region"/>
    <n v="378"/>
  </r>
  <r>
    <n v="2007"/>
    <s v="Deaths"/>
    <s v="Hawke's Bay region"/>
    <n v="1281"/>
  </r>
  <r>
    <n v="2007"/>
    <s v="Deaths"/>
    <s v="Taranaki region"/>
    <n v="939"/>
  </r>
  <r>
    <n v="2007"/>
    <s v="Deaths"/>
    <s v="Manawatu-Wanganui region"/>
    <n v="1812"/>
  </r>
  <r>
    <n v="2007"/>
    <s v="Deaths"/>
    <s v="Wellington region"/>
    <n v="2865"/>
  </r>
  <r>
    <n v="2007"/>
    <s v="Deaths"/>
    <s v="Tasman region"/>
    <n v="324"/>
  </r>
  <r>
    <n v="2007"/>
    <s v="Deaths"/>
    <s v="Nelson region"/>
    <n v="381"/>
  </r>
  <r>
    <n v="2007"/>
    <s v="Deaths"/>
    <s v="Marlborough region"/>
    <n v="366"/>
  </r>
  <r>
    <n v="2007"/>
    <s v="Deaths"/>
    <s v="West Coast region"/>
    <n v="255"/>
  </r>
  <r>
    <n v="2007"/>
    <s v="Deaths"/>
    <s v="Canterbury region"/>
    <n v="4107"/>
  </r>
  <r>
    <n v="2007"/>
    <s v="Deaths"/>
    <s v="Otago region"/>
    <n v="1530"/>
  </r>
  <r>
    <n v="2007"/>
    <s v="Deaths"/>
    <s v="Southland region"/>
    <n v="783"/>
  </r>
  <r>
    <n v="2007"/>
    <s v="Deaths"/>
    <s v="Region not stated or_x000a_area outside region"/>
    <n v="132"/>
  </r>
  <r>
    <n v="2007"/>
    <s v="Deaths"/>
    <s v="New Zealand"/>
    <n v="28521"/>
  </r>
  <r>
    <n v="2008"/>
    <s v="Births"/>
    <s v="Northland region"/>
    <n v="2304"/>
  </r>
  <r>
    <n v="2008"/>
    <s v="Births"/>
    <s v="Auckland region"/>
    <n v="23112"/>
  </r>
  <r>
    <n v="2008"/>
    <s v="Births"/>
    <s v="Waikato region"/>
    <n v="6423"/>
  </r>
  <r>
    <n v="2008"/>
    <s v="Births"/>
    <s v="Bay of Plenty region"/>
    <n v="4116"/>
  </r>
  <r>
    <n v="2008"/>
    <s v="Births"/>
    <s v="Gisborne region"/>
    <n v="828"/>
  </r>
  <r>
    <n v="2008"/>
    <s v="Births"/>
    <s v="Hawke's Bay region"/>
    <n v="2358"/>
  </r>
  <r>
    <n v="2008"/>
    <s v="Births"/>
    <s v="Taranaki region"/>
    <n v="1596"/>
  </r>
  <r>
    <n v="2008"/>
    <s v="Births"/>
    <s v="Manawatu-Wanganui region"/>
    <n v="3372"/>
  </r>
  <r>
    <n v="2008"/>
    <s v="Births"/>
    <s v="Wellington region"/>
    <n v="6972"/>
  </r>
  <r>
    <n v="2008"/>
    <s v="Births"/>
    <s v="Tasman region"/>
    <n v="558"/>
  </r>
  <r>
    <n v="2008"/>
    <s v="Births"/>
    <s v="Nelson region"/>
    <n v="627"/>
  </r>
  <r>
    <n v="2008"/>
    <s v="Births"/>
    <s v="Marlborough region"/>
    <n v="570"/>
  </r>
  <r>
    <n v="2008"/>
    <s v="Births"/>
    <s v="West Coast region"/>
    <n v="453"/>
  </r>
  <r>
    <n v="2008"/>
    <s v="Births"/>
    <s v="Canterbury region"/>
    <n v="7284"/>
  </r>
  <r>
    <n v="2008"/>
    <s v="Births"/>
    <s v="Otago region"/>
    <n v="2367"/>
  </r>
  <r>
    <n v="2008"/>
    <s v="Births"/>
    <s v="Southland region"/>
    <n v="1338"/>
  </r>
  <r>
    <n v="2008"/>
    <s v="Births"/>
    <s v="Region not stated or_x000a_area outside region"/>
    <n v="63"/>
  </r>
  <r>
    <n v="2008"/>
    <s v="Births"/>
    <s v="New Zealand"/>
    <n v="64344"/>
  </r>
  <r>
    <n v="2008"/>
    <s v="Deaths"/>
    <s v="Northland region"/>
    <n v="1344"/>
  </r>
  <r>
    <n v="2008"/>
    <s v="Deaths"/>
    <s v="Auckland region"/>
    <n v="7404"/>
  </r>
  <r>
    <n v="2008"/>
    <s v="Deaths"/>
    <s v="Waikato region"/>
    <n v="2871"/>
  </r>
  <r>
    <n v="2008"/>
    <s v="Deaths"/>
    <s v="Bay of Plenty region"/>
    <n v="2241"/>
  </r>
  <r>
    <n v="2008"/>
    <s v="Deaths"/>
    <s v="Gisborne region"/>
    <n v="387"/>
  </r>
  <r>
    <n v="2008"/>
    <s v="Deaths"/>
    <s v="Hawke's Bay region"/>
    <n v="1200"/>
  </r>
  <r>
    <n v="2008"/>
    <s v="Deaths"/>
    <s v="Taranaki region"/>
    <n v="912"/>
  </r>
  <r>
    <n v="2008"/>
    <s v="Deaths"/>
    <s v="Manawatu-Wanganui region"/>
    <n v="1920"/>
  </r>
  <r>
    <n v="2008"/>
    <s v="Deaths"/>
    <s v="Wellington region"/>
    <n v="3015"/>
  </r>
  <r>
    <n v="2008"/>
    <s v="Deaths"/>
    <s v="Tasman region"/>
    <n v="297"/>
  </r>
  <r>
    <n v="2008"/>
    <s v="Deaths"/>
    <s v="Nelson region"/>
    <n v="411"/>
  </r>
  <r>
    <n v="2008"/>
    <s v="Deaths"/>
    <s v="Marlborough region"/>
    <n v="381"/>
  </r>
  <r>
    <n v="2008"/>
    <s v="Deaths"/>
    <s v="West Coast region"/>
    <n v="273"/>
  </r>
  <r>
    <n v="2008"/>
    <s v="Deaths"/>
    <s v="Canterbury region"/>
    <n v="4017"/>
  </r>
  <r>
    <n v="2008"/>
    <s v="Deaths"/>
    <s v="Otago region"/>
    <n v="1617"/>
  </r>
  <r>
    <n v="2008"/>
    <s v="Deaths"/>
    <s v="Southland region"/>
    <n v="786"/>
  </r>
  <r>
    <n v="2008"/>
    <s v="Deaths"/>
    <s v="Region not stated or_x000a_area outside region"/>
    <n v="108"/>
  </r>
  <r>
    <n v="2008"/>
    <s v="Deaths"/>
    <s v="New Zealand"/>
    <n v="29190"/>
  </r>
  <r>
    <n v="2009"/>
    <s v="Births"/>
    <s v="Northland region"/>
    <n v="2199"/>
  </r>
  <r>
    <n v="2009"/>
    <s v="Births"/>
    <s v="Auckland region"/>
    <n v="22605"/>
  </r>
  <r>
    <n v="2009"/>
    <s v="Births"/>
    <s v="Waikato region"/>
    <n v="6147"/>
  </r>
  <r>
    <n v="2009"/>
    <s v="Births"/>
    <s v="Bay of Plenty region"/>
    <n v="3939"/>
  </r>
  <r>
    <n v="2009"/>
    <s v="Births"/>
    <s v="Gisborne region"/>
    <n v="729"/>
  </r>
  <r>
    <n v="2009"/>
    <s v="Births"/>
    <s v="Hawke's Bay region"/>
    <n v="2352"/>
  </r>
  <r>
    <n v="2009"/>
    <s v="Births"/>
    <s v="Taranaki region"/>
    <n v="1587"/>
  </r>
  <r>
    <n v="2009"/>
    <s v="Births"/>
    <s v="Manawatu-Wanganui region"/>
    <n v="3153"/>
  </r>
  <r>
    <n v="2009"/>
    <s v="Births"/>
    <s v="Wellington region"/>
    <n v="6792"/>
  </r>
  <r>
    <n v="2009"/>
    <s v="Births"/>
    <s v="Tasman region"/>
    <n v="498"/>
  </r>
  <r>
    <n v="2009"/>
    <s v="Births"/>
    <s v="Nelson region"/>
    <n v="603"/>
  </r>
  <r>
    <n v="2009"/>
    <s v="Births"/>
    <s v="Marlborough region"/>
    <n v="552"/>
  </r>
  <r>
    <n v="2009"/>
    <s v="Births"/>
    <s v="West Coast region"/>
    <n v="432"/>
  </r>
  <r>
    <n v="2009"/>
    <s v="Births"/>
    <s v="Canterbury region"/>
    <n v="7161"/>
  </r>
  <r>
    <n v="2009"/>
    <s v="Births"/>
    <s v="Otago region"/>
    <n v="2352"/>
  </r>
  <r>
    <n v="2009"/>
    <s v="Births"/>
    <s v="Southland region"/>
    <n v="1356"/>
  </r>
  <r>
    <n v="2009"/>
    <s v="Births"/>
    <s v="Region not stated or_x000a_area outside region"/>
    <n v="90"/>
  </r>
  <r>
    <n v="2009"/>
    <s v="Births"/>
    <s v="New Zealand"/>
    <n v="62544"/>
  </r>
  <r>
    <n v="2009"/>
    <s v="Deaths"/>
    <s v="Northland region"/>
    <n v="1287"/>
  </r>
  <r>
    <n v="2009"/>
    <s v="Deaths"/>
    <s v="Auckland region"/>
    <n v="7386"/>
  </r>
  <r>
    <n v="2009"/>
    <s v="Deaths"/>
    <s v="Waikato region"/>
    <n v="2760"/>
  </r>
  <r>
    <n v="2009"/>
    <s v="Deaths"/>
    <s v="Bay of Plenty region"/>
    <n v="2226"/>
  </r>
  <r>
    <n v="2009"/>
    <s v="Deaths"/>
    <s v="Gisborne region"/>
    <n v="360"/>
  </r>
  <r>
    <n v="2009"/>
    <s v="Deaths"/>
    <s v="Hawke's Bay region"/>
    <n v="1251"/>
  </r>
  <r>
    <n v="2009"/>
    <s v="Deaths"/>
    <s v="Taranaki region"/>
    <n v="897"/>
  </r>
  <r>
    <n v="2009"/>
    <s v="Deaths"/>
    <s v="Manawatu-Wanganui region"/>
    <n v="1941"/>
  </r>
  <r>
    <n v="2009"/>
    <s v="Deaths"/>
    <s v="Wellington region"/>
    <n v="2955"/>
  </r>
  <r>
    <n v="2009"/>
    <s v="Deaths"/>
    <s v="Tasman region"/>
    <n v="300"/>
  </r>
  <r>
    <n v="2009"/>
    <s v="Deaths"/>
    <s v="Nelson region"/>
    <n v="360"/>
  </r>
  <r>
    <n v="2009"/>
    <s v="Deaths"/>
    <s v="Marlborough region"/>
    <n v="378"/>
  </r>
  <r>
    <n v="2009"/>
    <s v="Deaths"/>
    <s v="West Coast region"/>
    <n v="264"/>
  </r>
  <r>
    <n v="2009"/>
    <s v="Deaths"/>
    <s v="Canterbury region"/>
    <n v="4206"/>
  </r>
  <r>
    <n v="2009"/>
    <s v="Deaths"/>
    <s v="Otago region"/>
    <n v="1560"/>
  </r>
  <r>
    <n v="2009"/>
    <s v="Deaths"/>
    <s v="Southland region"/>
    <n v="765"/>
  </r>
  <r>
    <n v="2009"/>
    <s v="Deaths"/>
    <s v="Region not stated or_x000a_area outside region"/>
    <n v="66"/>
  </r>
  <r>
    <n v="2009"/>
    <s v="Deaths"/>
    <s v="New Zealand"/>
    <n v="28962"/>
  </r>
  <r>
    <n v="2010"/>
    <s v="Births"/>
    <s v="Northland region"/>
    <n v="2397"/>
  </r>
  <r>
    <n v="2010"/>
    <s v="Births"/>
    <s v="Auckland region"/>
    <n v="23214"/>
  </r>
  <r>
    <n v="2010"/>
    <s v="Births"/>
    <s v="Waikato region"/>
    <n v="6324"/>
  </r>
  <r>
    <n v="2010"/>
    <s v="Births"/>
    <s v="Bay of Plenty region"/>
    <n v="3957"/>
  </r>
  <r>
    <n v="2010"/>
    <s v="Births"/>
    <s v="Gisborne region"/>
    <n v="783"/>
  </r>
  <r>
    <n v="2010"/>
    <s v="Births"/>
    <s v="Hawke's Bay region"/>
    <n v="2286"/>
  </r>
  <r>
    <n v="2010"/>
    <s v="Births"/>
    <s v="Taranaki region"/>
    <n v="1596"/>
  </r>
  <r>
    <n v="2010"/>
    <s v="Births"/>
    <s v="Manawatu-Wanganui region"/>
    <n v="3297"/>
  </r>
  <r>
    <n v="2010"/>
    <s v="Births"/>
    <s v="Wellington region"/>
    <n v="6771"/>
  </r>
  <r>
    <n v="2010"/>
    <s v="Births"/>
    <s v="Tasman region"/>
    <n v="543"/>
  </r>
  <r>
    <n v="2010"/>
    <s v="Births"/>
    <s v="Nelson region"/>
    <n v="603"/>
  </r>
  <r>
    <n v="2010"/>
    <s v="Births"/>
    <s v="Marlborough region"/>
    <n v="573"/>
  </r>
  <r>
    <n v="2010"/>
    <s v="Births"/>
    <s v="West Coast region"/>
    <n v="429"/>
  </r>
  <r>
    <n v="2010"/>
    <s v="Births"/>
    <s v="Canterbury region"/>
    <n v="7305"/>
  </r>
  <r>
    <n v="2010"/>
    <s v="Births"/>
    <s v="Otago region"/>
    <n v="2331"/>
  </r>
  <r>
    <n v="2010"/>
    <s v="Births"/>
    <s v="Southland region"/>
    <n v="1404"/>
  </r>
  <r>
    <n v="2010"/>
    <s v="Births"/>
    <s v="Region not stated or_x000a_area outside region"/>
    <n v="81"/>
  </r>
  <r>
    <n v="2010"/>
    <s v="Births"/>
    <s v="New Zealand"/>
    <n v="63897"/>
  </r>
  <r>
    <n v="2010"/>
    <s v="Deaths"/>
    <s v="Northland region"/>
    <n v="1233"/>
  </r>
  <r>
    <n v="2010"/>
    <s v="Deaths"/>
    <s v="Auckland region"/>
    <n v="7227"/>
  </r>
  <r>
    <n v="2010"/>
    <s v="Deaths"/>
    <s v="Waikato region"/>
    <n v="2772"/>
  </r>
  <r>
    <n v="2010"/>
    <s v="Deaths"/>
    <s v="Bay of Plenty region"/>
    <n v="2139"/>
  </r>
  <r>
    <n v="2010"/>
    <s v="Deaths"/>
    <s v="Gisborne region"/>
    <n v="381"/>
  </r>
  <r>
    <n v="2010"/>
    <s v="Deaths"/>
    <s v="Hawke's Bay region"/>
    <n v="1206"/>
  </r>
  <r>
    <n v="2010"/>
    <s v="Deaths"/>
    <s v="Taranaki region"/>
    <n v="909"/>
  </r>
  <r>
    <n v="2010"/>
    <s v="Deaths"/>
    <s v="Manawatu-Wanganui region"/>
    <n v="1905"/>
  </r>
  <r>
    <n v="2010"/>
    <s v="Deaths"/>
    <s v="Wellington region"/>
    <n v="2916"/>
  </r>
  <r>
    <n v="2010"/>
    <s v="Deaths"/>
    <s v="Tasman region"/>
    <n v="309"/>
  </r>
  <r>
    <n v="2010"/>
    <s v="Deaths"/>
    <s v="Nelson region"/>
    <n v="372"/>
  </r>
  <r>
    <n v="2010"/>
    <s v="Deaths"/>
    <s v="Marlborough region"/>
    <n v="360"/>
  </r>
  <r>
    <n v="2010"/>
    <s v="Deaths"/>
    <s v="West Coast region"/>
    <n v="249"/>
  </r>
  <r>
    <n v="2010"/>
    <s v="Deaths"/>
    <s v="Canterbury region"/>
    <n v="4272"/>
  </r>
  <r>
    <n v="2010"/>
    <s v="Deaths"/>
    <s v="Otago region"/>
    <n v="1392"/>
  </r>
  <r>
    <n v="2010"/>
    <s v="Deaths"/>
    <s v="Southland region"/>
    <n v="744"/>
  </r>
  <r>
    <n v="2010"/>
    <s v="Deaths"/>
    <s v="Region not stated or_x000a_area outside region"/>
    <n v="48"/>
  </r>
  <r>
    <n v="2010"/>
    <s v="Deaths"/>
    <s v="New Zealand"/>
    <n v="28437"/>
  </r>
  <r>
    <n v="2011"/>
    <s v="Births"/>
    <s v="Northland region"/>
    <n v="2199"/>
  </r>
  <r>
    <n v="2011"/>
    <s v="Births"/>
    <s v="Auckland region"/>
    <n v="22659"/>
  </r>
  <r>
    <n v="2011"/>
    <s v="Births"/>
    <s v="Waikato region"/>
    <n v="5916"/>
  </r>
  <r>
    <n v="2011"/>
    <s v="Births"/>
    <s v="Bay of Plenty region"/>
    <n v="3951"/>
  </r>
  <r>
    <n v="2011"/>
    <s v="Births"/>
    <s v="Gisborne region"/>
    <n v="738"/>
  </r>
  <r>
    <n v="2011"/>
    <s v="Births"/>
    <s v="Hawke's Bay region"/>
    <n v="2226"/>
  </r>
  <r>
    <n v="2011"/>
    <s v="Births"/>
    <s v="Taranaki region"/>
    <n v="1554"/>
  </r>
  <r>
    <n v="2011"/>
    <s v="Births"/>
    <s v="Manawatu-Wanganui region"/>
    <n v="3171"/>
  </r>
  <r>
    <n v="2011"/>
    <s v="Births"/>
    <s v="Wellington region"/>
    <n v="6528"/>
  </r>
  <r>
    <n v="2011"/>
    <s v="Births"/>
    <s v="Tasman region"/>
    <n v="501"/>
  </r>
  <r>
    <n v="2011"/>
    <s v="Births"/>
    <s v="Nelson region"/>
    <n v="600"/>
  </r>
  <r>
    <n v="2011"/>
    <s v="Births"/>
    <s v="Marlborough region"/>
    <n v="540"/>
  </r>
  <r>
    <n v="2011"/>
    <s v="Births"/>
    <s v="West Coast region"/>
    <n v="432"/>
  </r>
  <r>
    <n v="2011"/>
    <s v="Births"/>
    <s v="Canterbury region"/>
    <n v="6693"/>
  </r>
  <r>
    <n v="2011"/>
    <s v="Births"/>
    <s v="Otago region"/>
    <n v="2340"/>
  </r>
  <r>
    <n v="2011"/>
    <s v="Births"/>
    <s v="Southland region"/>
    <n v="1332"/>
  </r>
  <r>
    <n v="2011"/>
    <s v="Births"/>
    <s v="Region not stated or_x000a_area outside region"/>
    <n v="24"/>
  </r>
  <r>
    <n v="2011"/>
    <s v="Births"/>
    <s v="New Zealand"/>
    <n v="61401"/>
  </r>
  <r>
    <n v="2011"/>
    <s v="Deaths"/>
    <s v="Northland region"/>
    <n v="1365"/>
  </r>
  <r>
    <n v="2011"/>
    <s v="Deaths"/>
    <s v="Auckland region"/>
    <n v="7692"/>
  </r>
  <r>
    <n v="2011"/>
    <s v="Deaths"/>
    <s v="Waikato region"/>
    <n v="2937"/>
  </r>
  <r>
    <n v="2011"/>
    <s v="Deaths"/>
    <s v="Bay of Plenty region"/>
    <n v="2202"/>
  </r>
  <r>
    <n v="2011"/>
    <s v="Deaths"/>
    <s v="Gisborne region"/>
    <n v="366"/>
  </r>
  <r>
    <n v="2011"/>
    <s v="Deaths"/>
    <s v="Hawke's Bay region"/>
    <n v="1269"/>
  </r>
  <r>
    <n v="2011"/>
    <s v="Deaths"/>
    <s v="Taranaki region"/>
    <n v="978"/>
  </r>
  <r>
    <n v="2011"/>
    <s v="Deaths"/>
    <s v="Manawatu-Wanganui region"/>
    <n v="1911"/>
  </r>
  <r>
    <n v="2011"/>
    <s v="Deaths"/>
    <s v="Wellington region"/>
    <n v="3123"/>
  </r>
  <r>
    <n v="2011"/>
    <s v="Deaths"/>
    <s v="Tasman region"/>
    <n v="348"/>
  </r>
  <r>
    <n v="2011"/>
    <s v="Deaths"/>
    <s v="Nelson region"/>
    <n v="375"/>
  </r>
  <r>
    <n v="2011"/>
    <s v="Deaths"/>
    <s v="Marlborough region"/>
    <n v="378"/>
  </r>
  <r>
    <n v="2011"/>
    <s v="Deaths"/>
    <s v="West Coast region"/>
    <n v="291"/>
  </r>
  <r>
    <n v="2011"/>
    <s v="Deaths"/>
    <s v="Canterbury region"/>
    <n v="4473"/>
  </r>
  <r>
    <n v="2011"/>
    <s v="Deaths"/>
    <s v="Otago region"/>
    <n v="1542"/>
  </r>
  <r>
    <n v="2011"/>
    <s v="Deaths"/>
    <s v="Southland region"/>
    <n v="807"/>
  </r>
  <r>
    <n v="2011"/>
    <s v="Deaths"/>
    <s v="Region not stated or_x000a_area outside region"/>
    <n v="27"/>
  </r>
  <r>
    <n v="2011"/>
    <s v="Deaths"/>
    <s v="New Zealand"/>
    <n v="30081"/>
  </r>
  <r>
    <n v="2012"/>
    <s v="Births"/>
    <s v="Northland region"/>
    <n v="2310"/>
  </r>
  <r>
    <n v="2012"/>
    <s v="Births"/>
    <s v="Auckland region"/>
    <n v="22836"/>
  </r>
  <r>
    <n v="2012"/>
    <s v="Births"/>
    <s v="Waikato region"/>
    <n v="6051"/>
  </r>
  <r>
    <n v="2012"/>
    <s v="Births"/>
    <s v="Bay of Plenty region"/>
    <n v="3876"/>
  </r>
  <r>
    <n v="2012"/>
    <s v="Births"/>
    <s v="Gisborne region"/>
    <n v="708"/>
  </r>
  <r>
    <n v="2012"/>
    <s v="Births"/>
    <s v="Hawke's Bay region"/>
    <n v="2238"/>
  </r>
  <r>
    <n v="2012"/>
    <s v="Births"/>
    <s v="Taranaki region"/>
    <n v="1533"/>
  </r>
  <r>
    <n v="2012"/>
    <s v="Births"/>
    <s v="Manawatu-Wanganui region"/>
    <n v="3015"/>
  </r>
  <r>
    <n v="2012"/>
    <s v="Births"/>
    <s v="Wellington region"/>
    <n v="6435"/>
  </r>
  <r>
    <n v="2012"/>
    <s v="Births"/>
    <s v="Tasman region"/>
    <n v="477"/>
  </r>
  <r>
    <n v="2012"/>
    <s v="Births"/>
    <s v="Nelson region"/>
    <n v="546"/>
  </r>
  <r>
    <n v="2012"/>
    <s v="Births"/>
    <s v="Marlborough region"/>
    <n v="507"/>
  </r>
  <r>
    <n v="2012"/>
    <s v="Births"/>
    <s v="West Coast region"/>
    <n v="417"/>
  </r>
  <r>
    <n v="2012"/>
    <s v="Births"/>
    <s v="Canterbury region"/>
    <n v="6633"/>
  </r>
  <r>
    <n v="2012"/>
    <s v="Births"/>
    <s v="Otago region"/>
    <n v="2337"/>
  </r>
  <r>
    <n v="2012"/>
    <s v="Births"/>
    <s v="Southland region"/>
    <n v="1245"/>
  </r>
  <r>
    <n v="2012"/>
    <s v="Births"/>
    <s v="Region not stated or_x000a_area outside region"/>
    <n v="18"/>
  </r>
  <r>
    <n v="2012"/>
    <s v="Births"/>
    <s v="New Zealand"/>
    <n v="61179"/>
  </r>
  <r>
    <n v="2012"/>
    <s v="Deaths"/>
    <s v="Northland region"/>
    <n v="1374"/>
  </r>
  <r>
    <n v="2012"/>
    <s v="Deaths"/>
    <s v="Auckland region"/>
    <n v="7665"/>
  </r>
  <r>
    <n v="2012"/>
    <s v="Deaths"/>
    <s v="Waikato region"/>
    <n v="2931"/>
  </r>
  <r>
    <n v="2012"/>
    <s v="Deaths"/>
    <s v="Bay of Plenty region"/>
    <n v="2211"/>
  </r>
  <r>
    <n v="2012"/>
    <s v="Deaths"/>
    <s v="Gisborne region"/>
    <n v="396"/>
  </r>
  <r>
    <n v="2012"/>
    <s v="Deaths"/>
    <s v="Hawke's Bay region"/>
    <n v="1326"/>
  </r>
  <r>
    <n v="2012"/>
    <s v="Deaths"/>
    <s v="Taranaki region"/>
    <n v="948"/>
  </r>
  <r>
    <n v="2012"/>
    <s v="Deaths"/>
    <s v="Manawatu-Wanganui region"/>
    <n v="1920"/>
  </r>
  <r>
    <n v="2012"/>
    <s v="Deaths"/>
    <s v="Wellington region"/>
    <n v="3123"/>
  </r>
  <r>
    <n v="2012"/>
    <s v="Deaths"/>
    <s v="Tasman region"/>
    <n v="342"/>
  </r>
  <r>
    <n v="2012"/>
    <s v="Deaths"/>
    <s v="Nelson region"/>
    <n v="417"/>
  </r>
  <r>
    <n v="2012"/>
    <s v="Deaths"/>
    <s v="Marlborough region"/>
    <n v="393"/>
  </r>
  <r>
    <n v="2012"/>
    <s v="Deaths"/>
    <s v="West Coast region"/>
    <n v="252"/>
  </r>
  <r>
    <n v="2012"/>
    <s v="Deaths"/>
    <s v="Canterbury region"/>
    <n v="4359"/>
  </r>
  <r>
    <n v="2012"/>
    <s v="Deaths"/>
    <s v="Otago region"/>
    <n v="1635"/>
  </r>
  <r>
    <n v="2012"/>
    <s v="Deaths"/>
    <s v="Southland region"/>
    <n v="783"/>
  </r>
  <r>
    <n v="2012"/>
    <s v="Deaths"/>
    <s v="Region not stated or_x000a_area outside region"/>
    <n v="21"/>
  </r>
  <r>
    <n v="2012"/>
    <s v="Deaths"/>
    <s v="New Zealand"/>
    <n v="30099"/>
  </r>
  <r>
    <n v="2013"/>
    <s v="Births"/>
    <s v="Northland region"/>
    <n v="2124"/>
  </r>
  <r>
    <n v="2013"/>
    <s v="Births"/>
    <s v="Auckland region"/>
    <n v="21825"/>
  </r>
  <r>
    <n v="2013"/>
    <s v="Births"/>
    <s v="Waikato region"/>
    <n v="5745"/>
  </r>
  <r>
    <n v="2013"/>
    <s v="Births"/>
    <s v="Bay of Plenty region"/>
    <n v="3696"/>
  </r>
  <r>
    <n v="2013"/>
    <s v="Births"/>
    <s v="Gisborne region"/>
    <n v="699"/>
  </r>
  <r>
    <n v="2013"/>
    <s v="Births"/>
    <s v="Hawke's Bay region"/>
    <n v="2160"/>
  </r>
  <r>
    <n v="2013"/>
    <s v="Births"/>
    <s v="Taranaki region"/>
    <n v="1503"/>
  </r>
  <r>
    <n v="2013"/>
    <s v="Births"/>
    <s v="Manawatu-Wanganui region"/>
    <n v="2985"/>
  </r>
  <r>
    <n v="2013"/>
    <s v="Births"/>
    <s v="Wellington region"/>
    <n v="6057"/>
  </r>
  <r>
    <n v="2013"/>
    <s v="Births"/>
    <s v="Tasman region"/>
    <n v="486"/>
  </r>
  <r>
    <n v="2013"/>
    <s v="Births"/>
    <s v="Nelson region"/>
    <n v="555"/>
  </r>
  <r>
    <n v="2013"/>
    <s v="Births"/>
    <s v="Marlborough region"/>
    <n v="504"/>
  </r>
  <r>
    <n v="2013"/>
    <s v="Births"/>
    <s v="West Coast region"/>
    <n v="384"/>
  </r>
  <r>
    <n v="2013"/>
    <s v="Births"/>
    <s v="Canterbury region"/>
    <n v="6543"/>
  </r>
  <r>
    <n v="2013"/>
    <s v="Births"/>
    <s v="Otago region"/>
    <n v="2235"/>
  </r>
  <r>
    <n v="2013"/>
    <s v="Births"/>
    <s v="Southland region"/>
    <n v="1200"/>
  </r>
  <r>
    <n v="2013"/>
    <s v="Births"/>
    <s v="Region not stated or_x000a_area outside region"/>
    <n v="12"/>
  </r>
  <r>
    <n v="2013"/>
    <s v="Births"/>
    <s v="New Zealand"/>
    <n v="58716"/>
  </r>
  <r>
    <n v="2013"/>
    <s v="Deaths"/>
    <s v="Northland region"/>
    <n v="1365"/>
  </r>
  <r>
    <n v="2013"/>
    <s v="Deaths"/>
    <s v="Auckland region"/>
    <n v="7566"/>
  </r>
  <r>
    <n v="2013"/>
    <s v="Deaths"/>
    <s v="Waikato region"/>
    <n v="2919"/>
  </r>
  <r>
    <n v="2013"/>
    <s v="Deaths"/>
    <s v="Bay of Plenty region"/>
    <n v="2238"/>
  </r>
  <r>
    <n v="2013"/>
    <s v="Deaths"/>
    <s v="Gisborne region"/>
    <n v="399"/>
  </r>
  <r>
    <n v="2013"/>
    <s v="Deaths"/>
    <s v="Hawke's Bay region"/>
    <n v="1269"/>
  </r>
  <r>
    <n v="2013"/>
    <s v="Deaths"/>
    <s v="Taranaki region"/>
    <n v="888"/>
  </r>
  <r>
    <n v="2013"/>
    <s v="Deaths"/>
    <s v="Manawatu-Wanganui region"/>
    <n v="1947"/>
  </r>
  <r>
    <n v="2013"/>
    <s v="Deaths"/>
    <s v="Wellington region"/>
    <n v="3024"/>
  </r>
  <r>
    <n v="2013"/>
    <s v="Deaths"/>
    <s v="Tasman region"/>
    <n v="372"/>
  </r>
  <r>
    <n v="2013"/>
    <s v="Deaths"/>
    <s v="Nelson region"/>
    <n v="411"/>
  </r>
  <r>
    <n v="2013"/>
    <s v="Deaths"/>
    <s v="Marlborough region"/>
    <n v="396"/>
  </r>
  <r>
    <n v="2013"/>
    <s v="Deaths"/>
    <s v="West Coast region"/>
    <n v="291"/>
  </r>
  <r>
    <n v="2013"/>
    <s v="Deaths"/>
    <s v="Canterbury region"/>
    <n v="4098"/>
  </r>
  <r>
    <n v="2013"/>
    <s v="Deaths"/>
    <s v="Otago region"/>
    <n v="1581"/>
  </r>
  <r>
    <n v="2013"/>
    <s v="Deaths"/>
    <s v="Southland region"/>
    <n v="780"/>
  </r>
  <r>
    <n v="2013"/>
    <s v="Deaths"/>
    <s v="Region not stated or_x000a_area outside region"/>
    <n v="24"/>
  </r>
  <r>
    <n v="2013"/>
    <s v="Deaths"/>
    <s v="New Zealand"/>
    <n v="29568"/>
  </r>
  <r>
    <n v="2014"/>
    <s v="Births"/>
    <s v="Northland region"/>
    <n v="2049"/>
  </r>
  <r>
    <n v="2014"/>
    <s v="Births"/>
    <s v="Auckland region"/>
    <n v="21429"/>
  </r>
  <r>
    <n v="2014"/>
    <s v="Births"/>
    <s v="Waikato region"/>
    <n v="5688"/>
  </r>
  <r>
    <n v="2014"/>
    <s v="Births"/>
    <s v="Bay of Plenty region"/>
    <n v="3504"/>
  </r>
  <r>
    <n v="2014"/>
    <s v="Births"/>
    <s v="Gisborne region"/>
    <n v="651"/>
  </r>
  <r>
    <n v="2014"/>
    <s v="Births"/>
    <s v="Hawke's Bay region"/>
    <n v="2037"/>
  </r>
  <r>
    <n v="2014"/>
    <s v="Births"/>
    <s v="Taranaki region"/>
    <n v="1506"/>
  </r>
  <r>
    <n v="2014"/>
    <s v="Births"/>
    <s v="Manawatu-Wanganui region"/>
    <n v="2865"/>
  </r>
  <r>
    <n v="2014"/>
    <s v="Births"/>
    <s v="Wellington region"/>
    <n v="5889"/>
  </r>
  <r>
    <n v="2014"/>
    <s v="Births"/>
    <s v="Tasman region"/>
    <n v="411"/>
  </r>
  <r>
    <n v="2014"/>
    <s v="Births"/>
    <s v="Nelson region"/>
    <n v="534"/>
  </r>
  <r>
    <n v="2014"/>
    <s v="Births"/>
    <s v="Marlborough region"/>
    <n v="486"/>
  </r>
  <r>
    <n v="2014"/>
    <s v="Births"/>
    <s v="West Coast region"/>
    <n v="375"/>
  </r>
  <r>
    <n v="2014"/>
    <s v="Births"/>
    <s v="Canterbury region"/>
    <n v="6573"/>
  </r>
  <r>
    <n v="2014"/>
    <s v="Births"/>
    <s v="Otago region"/>
    <n v="2088"/>
  </r>
  <r>
    <n v="2014"/>
    <s v="Births"/>
    <s v="Southland region"/>
    <n v="1134"/>
  </r>
  <r>
    <n v="2014"/>
    <s v="Births"/>
    <s v="Region not stated or_x000a_area outside region"/>
    <n v="21"/>
  </r>
  <r>
    <n v="2014"/>
    <s v="Births"/>
    <s v="New Zealand"/>
    <n v="57243"/>
  </r>
  <r>
    <n v="2014"/>
    <s v="Deaths"/>
    <s v="Northland region"/>
    <n v="1377"/>
  </r>
  <r>
    <n v="2014"/>
    <s v="Deaths"/>
    <s v="Auckland region"/>
    <n v="8034"/>
  </r>
  <r>
    <n v="2014"/>
    <s v="Deaths"/>
    <s v="Waikato region"/>
    <n v="2955"/>
  </r>
  <r>
    <n v="2014"/>
    <s v="Deaths"/>
    <s v="Bay of Plenty region"/>
    <n v="2352"/>
  </r>
  <r>
    <n v="2014"/>
    <s v="Deaths"/>
    <s v="Gisborne region"/>
    <n v="387"/>
  </r>
  <r>
    <n v="2014"/>
    <s v="Deaths"/>
    <s v="Hawke's Bay region"/>
    <n v="1377"/>
  </r>
  <r>
    <n v="2014"/>
    <s v="Deaths"/>
    <s v="Taranaki region"/>
    <n v="963"/>
  </r>
  <r>
    <n v="2014"/>
    <s v="Deaths"/>
    <s v="Manawatu-Wanganui region"/>
    <n v="2064"/>
  </r>
  <r>
    <n v="2014"/>
    <s v="Deaths"/>
    <s v="Wellington region"/>
    <n v="3186"/>
  </r>
  <r>
    <n v="2014"/>
    <s v="Deaths"/>
    <s v="Tasman region"/>
    <n v="339"/>
  </r>
  <r>
    <n v="2014"/>
    <s v="Deaths"/>
    <s v="Nelson region"/>
    <n v="402"/>
  </r>
  <r>
    <n v="2014"/>
    <s v="Deaths"/>
    <s v="Marlborough region"/>
    <n v="381"/>
  </r>
  <r>
    <n v="2014"/>
    <s v="Deaths"/>
    <s v="West Coast region"/>
    <n v="279"/>
  </r>
  <r>
    <n v="2014"/>
    <s v="Deaths"/>
    <s v="Canterbury region"/>
    <n v="4422"/>
  </r>
  <r>
    <n v="2014"/>
    <s v="Deaths"/>
    <s v="Otago region"/>
    <n v="1689"/>
  </r>
  <r>
    <n v="2014"/>
    <s v="Deaths"/>
    <s v="Southland region"/>
    <n v="816"/>
  </r>
  <r>
    <n v="2014"/>
    <s v="Deaths"/>
    <s v="Region not stated or_x000a_area outside region"/>
    <n v="42"/>
  </r>
  <r>
    <n v="2014"/>
    <s v="Deaths"/>
    <s v="New Zealand"/>
    <n v="31062"/>
  </r>
  <r>
    <n v="2015"/>
    <s v="Births"/>
    <s v="Northland region"/>
    <n v="2196"/>
  </r>
  <r>
    <n v="2015"/>
    <s v="Births"/>
    <s v="Auckland region"/>
    <n v="22434"/>
  </r>
  <r>
    <n v="2015"/>
    <s v="Births"/>
    <s v="Waikato region"/>
    <n v="6234"/>
  </r>
  <r>
    <n v="2015"/>
    <s v="Births"/>
    <s v="Bay of Plenty region"/>
    <n v="3879"/>
  </r>
  <r>
    <n v="2015"/>
    <s v="Births"/>
    <s v="Gisborne region"/>
    <n v="717"/>
  </r>
  <r>
    <n v="2015"/>
    <s v="Births"/>
    <s v="Hawke's Bay region"/>
    <n v="2145"/>
  </r>
  <r>
    <n v="2015"/>
    <s v="Births"/>
    <s v="Taranaki region"/>
    <n v="1611"/>
  </r>
  <r>
    <n v="2015"/>
    <s v="Births"/>
    <s v="Manawatu-Wanganui region"/>
    <n v="3072"/>
  </r>
  <r>
    <n v="2015"/>
    <s v="Births"/>
    <s v="Wellington region"/>
    <n v="6231"/>
  </r>
  <r>
    <n v="2015"/>
    <s v="Births"/>
    <s v="Tasman region"/>
    <n v="447"/>
  </r>
  <r>
    <n v="2015"/>
    <s v="Births"/>
    <s v="Nelson region"/>
    <n v="534"/>
  </r>
  <r>
    <n v="2015"/>
    <s v="Births"/>
    <s v="Marlborough region"/>
    <n v="489"/>
  </r>
  <r>
    <n v="2015"/>
    <s v="Births"/>
    <s v="West Coast region"/>
    <n v="381"/>
  </r>
  <r>
    <n v="2015"/>
    <s v="Births"/>
    <s v="Canterbury region"/>
    <n v="7077"/>
  </r>
  <r>
    <n v="2015"/>
    <s v="Births"/>
    <s v="Otago region"/>
    <n v="2358"/>
  </r>
  <r>
    <n v="2015"/>
    <s v="Births"/>
    <s v="Southland region"/>
    <n v="1224"/>
  </r>
  <r>
    <n v="2015"/>
    <s v="Births"/>
    <s v="Region not stated or_x000a_area outside region"/>
    <n v="12"/>
  </r>
  <r>
    <n v="2015"/>
    <s v="Births"/>
    <s v="New Zealand"/>
    <n v="61038"/>
  </r>
  <r>
    <n v="2015"/>
    <s v="Deaths"/>
    <s v="Northland region"/>
    <n v="1443"/>
  </r>
  <r>
    <n v="2015"/>
    <s v="Deaths"/>
    <s v="Auckland region"/>
    <n v="8175"/>
  </r>
  <r>
    <n v="2015"/>
    <s v="Deaths"/>
    <s v="Waikato region"/>
    <n v="3105"/>
  </r>
  <r>
    <n v="2015"/>
    <s v="Deaths"/>
    <s v="Bay of Plenty region"/>
    <n v="2517"/>
  </r>
  <r>
    <n v="2015"/>
    <s v="Deaths"/>
    <s v="Gisborne region"/>
    <n v="351"/>
  </r>
  <r>
    <n v="2015"/>
    <s v="Deaths"/>
    <s v="Hawke's Bay region"/>
    <n v="1467"/>
  </r>
  <r>
    <n v="2015"/>
    <s v="Deaths"/>
    <s v="Taranaki region"/>
    <n v="1008"/>
  </r>
  <r>
    <n v="2015"/>
    <s v="Deaths"/>
    <s v="Manawatu-Wanganui region"/>
    <n v="2016"/>
  </r>
  <r>
    <n v="2015"/>
    <s v="Deaths"/>
    <s v="Wellington region"/>
    <n v="3150"/>
  </r>
  <r>
    <n v="2015"/>
    <s v="Deaths"/>
    <s v="Tasman region"/>
    <n v="375"/>
  </r>
  <r>
    <n v="2015"/>
    <s v="Deaths"/>
    <s v="Nelson region"/>
    <n v="447"/>
  </r>
  <r>
    <n v="2015"/>
    <s v="Deaths"/>
    <s v="Marlborough region"/>
    <n v="411"/>
  </r>
  <r>
    <n v="2015"/>
    <s v="Deaths"/>
    <s v="West Coast region"/>
    <n v="294"/>
  </r>
  <r>
    <n v="2015"/>
    <s v="Deaths"/>
    <s v="Canterbury region"/>
    <n v="4305"/>
  </r>
  <r>
    <n v="2015"/>
    <s v="Deaths"/>
    <s v="Otago region"/>
    <n v="1641"/>
  </r>
  <r>
    <n v="2015"/>
    <s v="Deaths"/>
    <s v="Southland region"/>
    <n v="879"/>
  </r>
  <r>
    <n v="2015"/>
    <s v="Deaths"/>
    <s v="Region not stated or_x000a_area outside region"/>
    <n v="24"/>
  </r>
  <r>
    <n v="2015"/>
    <s v="Deaths"/>
    <s v="New Zealand"/>
    <n v="31608"/>
  </r>
  <r>
    <n v="2016"/>
    <s v="Births"/>
    <s v="Northland region"/>
    <n v="2229"/>
  </r>
  <r>
    <n v="2016"/>
    <s v="Births"/>
    <s v="Auckland region"/>
    <n v="21810"/>
  </r>
  <r>
    <n v="2016"/>
    <s v="Births"/>
    <s v="Waikato region"/>
    <n v="6066"/>
  </r>
  <r>
    <n v="2016"/>
    <s v="Births"/>
    <s v="Bay of Plenty region"/>
    <n v="3864"/>
  </r>
  <r>
    <n v="2016"/>
    <s v="Births"/>
    <s v="Gisborne region"/>
    <n v="738"/>
  </r>
  <r>
    <n v="2016"/>
    <s v="Births"/>
    <s v="Hawke's Bay region"/>
    <n v="2058"/>
  </r>
  <r>
    <n v="2016"/>
    <s v="Births"/>
    <s v="Taranaki region"/>
    <n v="1473"/>
  </r>
  <r>
    <n v="2016"/>
    <s v="Births"/>
    <s v="Manawatu-Wanganui region"/>
    <n v="2928"/>
  </r>
  <r>
    <n v="2016"/>
    <s v="Births"/>
    <s v="Wellington region"/>
    <n v="6015"/>
  </r>
  <r>
    <n v="2016"/>
    <s v="Births"/>
    <s v="Tasman region"/>
    <n v="453"/>
  </r>
  <r>
    <n v="2016"/>
    <s v="Births"/>
    <s v="Nelson region"/>
    <n v="540"/>
  </r>
  <r>
    <n v="2016"/>
    <s v="Births"/>
    <s v="Marlborough region"/>
    <n v="534"/>
  </r>
  <r>
    <n v="2016"/>
    <s v="Births"/>
    <s v="West Coast region"/>
    <n v="324"/>
  </r>
  <r>
    <n v="2016"/>
    <s v="Births"/>
    <s v="Canterbury region"/>
    <n v="7014"/>
  </r>
  <r>
    <n v="2016"/>
    <s v="Births"/>
    <s v="Otago region"/>
    <n v="2199"/>
  </r>
  <r>
    <n v="2016"/>
    <s v="Births"/>
    <s v="Southland region"/>
    <n v="1161"/>
  </r>
  <r>
    <n v="2016"/>
    <s v="Births"/>
    <s v="Region not stated or_x000a_area outside region"/>
    <n v="15"/>
  </r>
  <r>
    <n v="2016"/>
    <s v="Births"/>
    <s v="New Zealand"/>
    <n v="59427"/>
  </r>
  <r>
    <n v="2016"/>
    <s v="Deaths"/>
    <s v="Northland region"/>
    <n v="1563"/>
  </r>
  <r>
    <n v="2016"/>
    <s v="Deaths"/>
    <s v="Auckland region"/>
    <n v="8007"/>
  </r>
  <r>
    <n v="2016"/>
    <s v="Deaths"/>
    <s v="Waikato region"/>
    <n v="3066"/>
  </r>
  <r>
    <n v="2016"/>
    <s v="Deaths"/>
    <s v="Bay of Plenty region"/>
    <n v="2403"/>
  </r>
  <r>
    <n v="2016"/>
    <s v="Deaths"/>
    <s v="Gisborne region"/>
    <n v="378"/>
  </r>
  <r>
    <n v="2016"/>
    <s v="Deaths"/>
    <s v="Hawke's Bay region"/>
    <n v="1368"/>
  </r>
  <r>
    <n v="2016"/>
    <s v="Deaths"/>
    <s v="Taranaki region"/>
    <n v="981"/>
  </r>
  <r>
    <n v="2016"/>
    <s v="Deaths"/>
    <s v="Manawatu-Wanganui region"/>
    <n v="2082"/>
  </r>
  <r>
    <n v="2016"/>
    <s v="Deaths"/>
    <s v="Wellington region"/>
    <n v="3237"/>
  </r>
  <r>
    <n v="2016"/>
    <s v="Deaths"/>
    <s v="Tasman region"/>
    <n v="384"/>
  </r>
  <r>
    <n v="2016"/>
    <s v="Deaths"/>
    <s v="Nelson region"/>
    <n v="447"/>
  </r>
  <r>
    <n v="2016"/>
    <s v="Deaths"/>
    <s v="Marlborough region"/>
    <n v="426"/>
  </r>
  <r>
    <n v="2016"/>
    <s v="Deaths"/>
    <s v="West Coast region"/>
    <n v="267"/>
  </r>
  <r>
    <n v="2016"/>
    <s v="Deaths"/>
    <s v="Canterbury region"/>
    <n v="4158"/>
  </r>
  <r>
    <n v="2016"/>
    <s v="Deaths"/>
    <s v="Otago region"/>
    <n v="1536"/>
  </r>
  <r>
    <n v="2016"/>
    <s v="Deaths"/>
    <s v="Southland region"/>
    <n v="855"/>
  </r>
  <r>
    <n v="2016"/>
    <s v="Deaths"/>
    <s v="Region not stated or_x000a_area outside region"/>
    <n v="24"/>
  </r>
  <r>
    <n v="2016"/>
    <s v="Deaths"/>
    <s v="New Zealand"/>
    <n v="31179"/>
  </r>
  <r>
    <n v="2017"/>
    <s v="Births"/>
    <s v="Northland region"/>
    <n v="2247"/>
  </r>
  <r>
    <n v="2017"/>
    <s v="Births"/>
    <s v="Auckland region"/>
    <n v="21393"/>
  </r>
  <r>
    <n v="2017"/>
    <s v="Births"/>
    <s v="Waikato region"/>
    <n v="6204"/>
  </r>
  <r>
    <n v="2017"/>
    <s v="Births"/>
    <s v="Bay of Plenty region"/>
    <n v="4086"/>
  </r>
  <r>
    <n v="2017"/>
    <s v="Births"/>
    <s v="Gisborne region"/>
    <n v="705"/>
  </r>
  <r>
    <n v="2017"/>
    <s v="Births"/>
    <s v="Hawke's Bay region"/>
    <n v="2127"/>
  </r>
  <r>
    <n v="2017"/>
    <s v="Births"/>
    <s v="Taranaki region"/>
    <n v="1389"/>
  </r>
  <r>
    <n v="2017"/>
    <s v="Births"/>
    <s v="Manawatu-Wanganui region"/>
    <n v="3045"/>
  </r>
  <r>
    <n v="2017"/>
    <s v="Births"/>
    <s v="Wellington region"/>
    <n v="6057"/>
  </r>
  <r>
    <n v="2017"/>
    <s v="Births"/>
    <s v="Tasman region"/>
    <n v="459"/>
  </r>
  <r>
    <n v="2017"/>
    <s v="Births"/>
    <s v="Nelson region"/>
    <n v="504"/>
  </r>
  <r>
    <n v="2017"/>
    <s v="Births"/>
    <s v="Marlborough region"/>
    <n v="495"/>
  </r>
  <r>
    <n v="2017"/>
    <s v="Births"/>
    <s v="West Coast region"/>
    <n v="363"/>
  </r>
  <r>
    <n v="2017"/>
    <s v="Births"/>
    <s v="Canterbury region"/>
    <n v="7065"/>
  </r>
  <r>
    <n v="2017"/>
    <s v="Births"/>
    <s v="Otago region"/>
    <n v="2241"/>
  </r>
  <r>
    <n v="2017"/>
    <s v="Births"/>
    <s v="Southland region"/>
    <n v="1215"/>
  </r>
  <r>
    <n v="2017"/>
    <s v="Births"/>
    <s v="Region not stated or_x000a_area outside region"/>
    <n v="15"/>
  </r>
  <r>
    <n v="2017"/>
    <s v="Births"/>
    <s v="New Zealand"/>
    <n v="59610"/>
  </r>
  <r>
    <n v="2017"/>
    <s v="Deaths"/>
    <s v="Northland region"/>
    <n v="1611"/>
  </r>
  <r>
    <n v="2017"/>
    <s v="Deaths"/>
    <s v="Auckland region"/>
    <n v="8577"/>
  </r>
  <r>
    <n v="2017"/>
    <s v="Deaths"/>
    <s v="Waikato region"/>
    <n v="3378"/>
  </r>
  <r>
    <n v="2017"/>
    <s v="Deaths"/>
    <s v="Bay of Plenty region"/>
    <n v="2676"/>
  </r>
  <r>
    <n v="2017"/>
    <s v="Deaths"/>
    <s v="Gisborne region"/>
    <n v="432"/>
  </r>
  <r>
    <n v="2017"/>
    <s v="Deaths"/>
    <s v="Hawke's Bay region"/>
    <n v="1527"/>
  </r>
  <r>
    <n v="2017"/>
    <s v="Deaths"/>
    <s v="Taranaki region"/>
    <n v="1017"/>
  </r>
  <r>
    <n v="2017"/>
    <s v="Deaths"/>
    <s v="Manawatu-Wanganui region"/>
    <n v="2262"/>
  </r>
  <r>
    <n v="2017"/>
    <s v="Deaths"/>
    <s v="Wellington region"/>
    <n v="3300"/>
  </r>
  <r>
    <n v="2017"/>
    <s v="Deaths"/>
    <s v="Tasman region"/>
    <n v="372"/>
  </r>
  <r>
    <n v="2017"/>
    <s v="Deaths"/>
    <s v="Nelson region"/>
    <n v="468"/>
  </r>
  <r>
    <n v="2017"/>
    <s v="Deaths"/>
    <s v="Marlborough region"/>
    <n v="405"/>
  </r>
  <r>
    <n v="2017"/>
    <s v="Deaths"/>
    <s v="West Coast region"/>
    <n v="309"/>
  </r>
  <r>
    <n v="2017"/>
    <s v="Deaths"/>
    <s v="Canterbury region"/>
    <n v="4494"/>
  </r>
  <r>
    <n v="2017"/>
    <s v="Deaths"/>
    <s v="Otago region"/>
    <n v="1647"/>
  </r>
  <r>
    <n v="2017"/>
    <s v="Deaths"/>
    <s v="Southland region"/>
    <n v="849"/>
  </r>
  <r>
    <n v="2017"/>
    <s v="Deaths"/>
    <s v="Region not stated or_x000a_area outside region"/>
    <n v="21"/>
  </r>
  <r>
    <n v="2017"/>
    <s v="Deaths"/>
    <s v="New Zealand"/>
    <n v="33342"/>
  </r>
  <r>
    <n v="2018"/>
    <s v="Births"/>
    <s v="Northland region"/>
    <n v="2181"/>
  </r>
  <r>
    <n v="2018"/>
    <s v="Births"/>
    <s v="Auckland region"/>
    <n v="20712"/>
  </r>
  <r>
    <n v="2018"/>
    <s v="Births"/>
    <s v="Waikato region"/>
    <n v="6054"/>
  </r>
  <r>
    <n v="2018"/>
    <s v="Births"/>
    <s v="Bay of Plenty region"/>
    <n v="3969"/>
  </r>
  <r>
    <n v="2018"/>
    <s v="Births"/>
    <s v="Gisborne region"/>
    <n v="711"/>
  </r>
  <r>
    <n v="2018"/>
    <s v="Births"/>
    <s v="Hawke's Bay region"/>
    <n v="2070"/>
  </r>
  <r>
    <n v="2018"/>
    <s v="Births"/>
    <s v="Taranaki region"/>
    <n v="1548"/>
  </r>
  <r>
    <n v="2018"/>
    <s v="Births"/>
    <s v="Manawatu-Wanganui region"/>
    <n v="3024"/>
  </r>
  <r>
    <n v="2018"/>
    <s v="Births"/>
    <s v="Wellington region"/>
    <n v="5706"/>
  </r>
  <r>
    <n v="2018"/>
    <s v="Births"/>
    <s v="Tasman region"/>
    <n v="447"/>
  </r>
  <r>
    <n v="2018"/>
    <s v="Births"/>
    <s v="Nelson region"/>
    <n v="540"/>
  </r>
  <r>
    <n v="2018"/>
    <s v="Births"/>
    <s v="Marlborough region"/>
    <n v="504"/>
  </r>
  <r>
    <n v="2018"/>
    <s v="Births"/>
    <s v="West Coast region"/>
    <n v="324"/>
  </r>
  <r>
    <n v="2018"/>
    <s v="Births"/>
    <s v="Canterbury region"/>
    <n v="6939"/>
  </r>
  <r>
    <n v="2018"/>
    <s v="Births"/>
    <s v="Otago region"/>
    <n v="2148"/>
  </r>
  <r>
    <n v="2018"/>
    <s v="Births"/>
    <s v="Southland region"/>
    <n v="1119"/>
  </r>
  <r>
    <n v="2018"/>
    <s v="Births"/>
    <s v="Region not stated or_x000a_area outside region"/>
    <n v="18"/>
  </r>
  <r>
    <n v="2018"/>
    <s v="Births"/>
    <s v="New Zealand"/>
    <n v="58020"/>
  </r>
  <r>
    <n v="2018"/>
    <s v="Deaths"/>
    <s v="Northland region"/>
    <n v="1692"/>
  </r>
  <r>
    <n v="2018"/>
    <s v="Deaths"/>
    <s v="Auckland region"/>
    <n v="8586"/>
  </r>
  <r>
    <n v="2018"/>
    <s v="Deaths"/>
    <s v="Waikato region"/>
    <n v="3420"/>
  </r>
  <r>
    <n v="2018"/>
    <s v="Deaths"/>
    <s v="Bay of Plenty region"/>
    <n v="2583"/>
  </r>
  <r>
    <n v="2018"/>
    <s v="Deaths"/>
    <s v="Gisborne region"/>
    <n v="429"/>
  </r>
  <r>
    <n v="2018"/>
    <s v="Deaths"/>
    <s v="Hawke's Bay region"/>
    <n v="1515"/>
  </r>
  <r>
    <n v="2018"/>
    <s v="Deaths"/>
    <s v="Taranaki region"/>
    <n v="1026"/>
  </r>
  <r>
    <n v="2018"/>
    <s v="Deaths"/>
    <s v="Manawatu-Wanganui region"/>
    <n v="2190"/>
  </r>
  <r>
    <n v="2018"/>
    <s v="Deaths"/>
    <s v="Wellington region"/>
    <n v="3330"/>
  </r>
  <r>
    <n v="2018"/>
    <s v="Deaths"/>
    <s v="Tasman region"/>
    <n v="402"/>
  </r>
  <r>
    <n v="2018"/>
    <s v="Deaths"/>
    <s v="Nelson region"/>
    <n v="441"/>
  </r>
  <r>
    <n v="2018"/>
    <s v="Deaths"/>
    <s v="Marlborough region"/>
    <n v="450"/>
  </r>
  <r>
    <n v="2018"/>
    <s v="Deaths"/>
    <s v="West Coast region"/>
    <n v="291"/>
  </r>
  <r>
    <n v="2018"/>
    <s v="Deaths"/>
    <s v="Canterbury region"/>
    <n v="4431"/>
  </r>
  <r>
    <n v="2018"/>
    <s v="Deaths"/>
    <s v="Otago region"/>
    <n v="1626"/>
  </r>
  <r>
    <n v="2018"/>
    <s v="Deaths"/>
    <s v="Southland region"/>
    <n v="804"/>
  </r>
  <r>
    <n v="2018"/>
    <s v="Deaths"/>
    <s v="Region not stated or_x000a_area outside region"/>
    <n v="15"/>
  </r>
  <r>
    <n v="2018"/>
    <s v="Deaths"/>
    <s v="New Zealand"/>
    <n v="33225"/>
  </r>
  <r>
    <n v="2019"/>
    <s v="Births"/>
    <s v="Northland region"/>
    <n v="2250"/>
  </r>
  <r>
    <n v="2019"/>
    <s v="Births"/>
    <s v="Auckland region"/>
    <n v="21405"/>
  </r>
  <r>
    <n v="2019"/>
    <s v="Births"/>
    <s v="Waikato region"/>
    <n v="6237"/>
  </r>
  <r>
    <n v="2019"/>
    <s v="Births"/>
    <s v="Bay of Plenty region"/>
    <n v="4047"/>
  </r>
  <r>
    <n v="2019"/>
    <s v="Births"/>
    <s v="Gisborne region"/>
    <n v="675"/>
  </r>
  <r>
    <n v="2019"/>
    <s v="Births"/>
    <s v="Hawke's Bay region"/>
    <n v="2037"/>
  </r>
  <r>
    <n v="2019"/>
    <s v="Births"/>
    <s v="Taranaki region"/>
    <n v="1542"/>
  </r>
  <r>
    <n v="2019"/>
    <s v="Births"/>
    <s v="Manawatu-Wanganui region"/>
    <n v="3057"/>
  </r>
  <r>
    <n v="2019"/>
    <s v="Births"/>
    <s v="Wellington region"/>
    <n v="5904"/>
  </r>
  <r>
    <n v="2019"/>
    <s v="Births"/>
    <s v="Tasman region"/>
    <n v="462"/>
  </r>
  <r>
    <n v="2019"/>
    <s v="Births"/>
    <s v="Nelson region"/>
    <n v="537"/>
  </r>
  <r>
    <n v="2019"/>
    <s v="Births"/>
    <s v="Marlborough region"/>
    <n v="480"/>
  </r>
  <r>
    <n v="2019"/>
    <s v="Births"/>
    <s v="West Coast region"/>
    <n v="354"/>
  </r>
  <r>
    <n v="2019"/>
    <s v="Births"/>
    <s v="Canterbury region"/>
    <n v="7164"/>
  </r>
  <r>
    <n v="2019"/>
    <s v="Births"/>
    <s v="Otago region"/>
    <n v="2310"/>
  </r>
  <r>
    <n v="2019"/>
    <s v="Births"/>
    <s v="Southland region"/>
    <n v="1152"/>
  </r>
  <r>
    <n v="2019"/>
    <s v="Births"/>
    <s v="Region not stated or_x000a_area outside region"/>
    <n v="21"/>
  </r>
  <r>
    <n v="2019"/>
    <s v="Births"/>
    <s v="New Zealand"/>
    <n v="59637"/>
  </r>
  <r>
    <n v="2019"/>
    <s v="Deaths"/>
    <s v="Northland region"/>
    <n v="1662"/>
  </r>
  <r>
    <n v="2019"/>
    <s v="Deaths"/>
    <s v="Auckland region"/>
    <n v="8619"/>
  </r>
  <r>
    <n v="2019"/>
    <s v="Deaths"/>
    <s v="Waikato region"/>
    <n v="3393"/>
  </r>
  <r>
    <n v="2019"/>
    <s v="Deaths"/>
    <s v="Bay of Plenty region"/>
    <n v="2787"/>
  </r>
  <r>
    <n v="2019"/>
    <s v="Deaths"/>
    <s v="Gisborne region"/>
    <n v="456"/>
  </r>
  <r>
    <n v="2019"/>
    <s v="Deaths"/>
    <s v="Hawke's Bay region"/>
    <n v="1584"/>
  </r>
  <r>
    <n v="2019"/>
    <s v="Deaths"/>
    <s v="Taranaki region"/>
    <n v="1041"/>
  </r>
  <r>
    <n v="2019"/>
    <s v="Deaths"/>
    <s v="Manawatu-Wanganui region"/>
    <n v="2178"/>
  </r>
  <r>
    <n v="2019"/>
    <s v="Deaths"/>
    <s v="Wellington region"/>
    <n v="3693"/>
  </r>
  <r>
    <n v="2019"/>
    <s v="Deaths"/>
    <s v="Tasman region"/>
    <n v="450"/>
  </r>
  <r>
    <n v="2019"/>
    <s v="Deaths"/>
    <s v="Nelson region"/>
    <n v="474"/>
  </r>
  <r>
    <n v="2019"/>
    <s v="Deaths"/>
    <s v="Marlborough region"/>
    <n v="414"/>
  </r>
  <r>
    <n v="2019"/>
    <s v="Deaths"/>
    <s v="West Coast region"/>
    <n v="300"/>
  </r>
  <r>
    <n v="2019"/>
    <s v="Deaths"/>
    <s v="Canterbury region"/>
    <n v="4608"/>
  </r>
  <r>
    <n v="2019"/>
    <s v="Deaths"/>
    <s v="Otago region"/>
    <n v="1695"/>
  </r>
  <r>
    <n v="2019"/>
    <s v="Deaths"/>
    <s v="Southland region"/>
    <n v="888"/>
  </r>
  <r>
    <n v="2019"/>
    <s v="Deaths"/>
    <s v="Region not stated or_x000a_area outside region"/>
    <n v="21"/>
  </r>
  <r>
    <n v="2019"/>
    <s v="Deaths"/>
    <s v="New Zealand"/>
    <n v="34260"/>
  </r>
  <r>
    <n v="2020"/>
    <s v="Births"/>
    <s v="Northland region"/>
    <n v="2244"/>
  </r>
  <r>
    <n v="2020"/>
    <s v="Births"/>
    <s v="Auckland region"/>
    <n v="20385"/>
  </r>
  <r>
    <n v="2020"/>
    <s v="Births"/>
    <s v="Waikato region"/>
    <n v="6195"/>
  </r>
  <r>
    <n v="2020"/>
    <s v="Births"/>
    <s v="Bay of Plenty region"/>
    <n v="4005"/>
  </r>
  <r>
    <n v="2020"/>
    <s v="Births"/>
    <s v="Gisborne region"/>
    <n v="663"/>
  </r>
  <r>
    <n v="2020"/>
    <s v="Births"/>
    <s v="Hawke's Bay region"/>
    <n v="2079"/>
  </r>
  <r>
    <n v="2020"/>
    <s v="Births"/>
    <s v="Taranaki region"/>
    <n v="1467"/>
  </r>
  <r>
    <n v="2020"/>
    <s v="Births"/>
    <s v="Manawatu-Wanganui region"/>
    <n v="2976"/>
  </r>
  <r>
    <n v="2020"/>
    <s v="Births"/>
    <s v="Wellington region"/>
    <n v="5691"/>
  </r>
  <r>
    <n v="2020"/>
    <s v="Births"/>
    <s v="Tasman region"/>
    <n v="474"/>
  </r>
  <r>
    <n v="2020"/>
    <s v="Births"/>
    <s v="Nelson region"/>
    <n v="477"/>
  </r>
  <r>
    <n v="2020"/>
    <s v="Births"/>
    <s v="Marlborough region"/>
    <n v="477"/>
  </r>
  <r>
    <n v="2020"/>
    <s v="Births"/>
    <s v="West Coast region"/>
    <n v="312"/>
  </r>
  <r>
    <n v="2020"/>
    <s v="Births"/>
    <s v="Canterbury region"/>
    <n v="6780"/>
  </r>
  <r>
    <n v="2020"/>
    <s v="Births"/>
    <s v="Otago region"/>
    <n v="2238"/>
  </r>
  <r>
    <n v="2020"/>
    <s v="Births"/>
    <s v="Southland region"/>
    <n v="1083"/>
  </r>
  <r>
    <n v="2020"/>
    <s v="Births"/>
    <s v="Region not stated or_x000a_area outside region"/>
    <n v="18"/>
  </r>
  <r>
    <n v="2020"/>
    <s v="Births"/>
    <s v="New Zealand"/>
    <n v="57576"/>
  </r>
  <r>
    <n v="2020"/>
    <s v="Deaths"/>
    <s v="Northland region"/>
    <n v="1644"/>
  </r>
  <r>
    <n v="2020"/>
    <s v="Deaths"/>
    <s v="Auckland region"/>
    <n v="8328"/>
  </r>
  <r>
    <n v="2020"/>
    <s v="Deaths"/>
    <s v="Waikato region"/>
    <n v="3357"/>
  </r>
  <r>
    <n v="2020"/>
    <s v="Deaths"/>
    <s v="Bay of Plenty region"/>
    <n v="2526"/>
  </r>
  <r>
    <n v="2020"/>
    <s v="Deaths"/>
    <s v="Gisborne region"/>
    <n v="393"/>
  </r>
  <r>
    <n v="2020"/>
    <s v="Deaths"/>
    <s v="Hawke's Bay region"/>
    <n v="1440"/>
  </r>
  <r>
    <n v="2020"/>
    <s v="Deaths"/>
    <s v="Taranaki region"/>
    <n v="1002"/>
  </r>
  <r>
    <n v="2020"/>
    <s v="Deaths"/>
    <s v="Manawatu-Wanganui region"/>
    <n v="2052"/>
  </r>
  <r>
    <n v="2020"/>
    <s v="Deaths"/>
    <s v="Wellington region"/>
    <n v="3282"/>
  </r>
  <r>
    <n v="2020"/>
    <s v="Deaths"/>
    <s v="Tasman region"/>
    <n v="366"/>
  </r>
  <r>
    <n v="2020"/>
    <s v="Deaths"/>
    <s v="Nelson region"/>
    <n v="444"/>
  </r>
  <r>
    <n v="2020"/>
    <s v="Deaths"/>
    <s v="Marlborough region"/>
    <n v="423"/>
  </r>
  <r>
    <n v="2020"/>
    <s v="Deaths"/>
    <s v="West Coast region"/>
    <n v="273"/>
  </r>
  <r>
    <n v="2020"/>
    <s v="Deaths"/>
    <s v="Canterbury region"/>
    <n v="4476"/>
  </r>
  <r>
    <n v="2020"/>
    <s v="Deaths"/>
    <s v="Otago region"/>
    <n v="1677"/>
  </r>
  <r>
    <n v="2020"/>
    <s v="Deaths"/>
    <s v="Southland region"/>
    <n v="894"/>
  </r>
  <r>
    <n v="2020"/>
    <s v="Deaths"/>
    <s v="Region not stated or_x000a_area outside region"/>
    <n v="30"/>
  </r>
  <r>
    <n v="2020"/>
    <s v="Deaths"/>
    <s v="New Zealand"/>
    <n v="32613"/>
  </r>
  <r>
    <n v="2021"/>
    <s v="Births"/>
    <s v="Northland region"/>
    <n v="2262"/>
  </r>
  <r>
    <n v="2021"/>
    <s v="Births"/>
    <s v="Auckland region"/>
    <n v="20520"/>
  </r>
  <r>
    <n v="2021"/>
    <s v="Births"/>
    <s v="Waikato region"/>
    <n v="6330"/>
  </r>
  <r>
    <n v="2021"/>
    <s v="Births"/>
    <s v="Bay of Plenty region"/>
    <n v="4173"/>
  </r>
  <r>
    <n v="2021"/>
    <s v="Births"/>
    <s v="Gisborne region"/>
    <n v="675"/>
  </r>
  <r>
    <n v="2021"/>
    <s v="Births"/>
    <s v="Hawke's Bay region"/>
    <n v="2127"/>
  </r>
  <r>
    <n v="2021"/>
    <s v="Births"/>
    <s v="Taranaki region"/>
    <n v="1488"/>
  </r>
  <r>
    <n v="2021"/>
    <s v="Births"/>
    <s v="Manawatu-Wanganui region"/>
    <n v="2952"/>
  </r>
  <r>
    <n v="2021"/>
    <s v="Births"/>
    <s v="Wellington region"/>
    <n v="5769"/>
  </r>
  <r>
    <n v="2021"/>
    <s v="Births"/>
    <s v="Tasman region"/>
    <n v="492"/>
  </r>
  <r>
    <n v="2021"/>
    <s v="Births"/>
    <s v="Nelson region"/>
    <n v="498"/>
  </r>
  <r>
    <n v="2021"/>
    <s v="Births"/>
    <s v="Marlborough region"/>
    <n v="486"/>
  </r>
  <r>
    <n v="2021"/>
    <s v="Births"/>
    <s v="West Coast region"/>
    <n v="333"/>
  </r>
  <r>
    <n v="2021"/>
    <s v="Births"/>
    <s v="Canterbury region"/>
    <n v="7158"/>
  </r>
  <r>
    <n v="2021"/>
    <s v="Births"/>
    <s v="Otago region"/>
    <n v="2325"/>
  </r>
  <r>
    <n v="2021"/>
    <s v="Births"/>
    <s v="Southland region"/>
    <n v="1059"/>
  </r>
  <r>
    <n v="2021"/>
    <s v="Births"/>
    <s v="Region not stated or_x000a_area outside region"/>
    <n v="12"/>
  </r>
  <r>
    <n v="2021"/>
    <s v="Births"/>
    <s v="New Zealand"/>
    <n v="58659"/>
  </r>
  <r>
    <n v="2021"/>
    <s v="Deaths"/>
    <s v="Northland region"/>
    <n v="1722"/>
  </r>
  <r>
    <n v="2021"/>
    <s v="Deaths"/>
    <s v="Auckland region"/>
    <n v="8907"/>
  </r>
  <r>
    <n v="2021"/>
    <s v="Deaths"/>
    <s v="Waikato region"/>
    <n v="3600"/>
  </r>
  <r>
    <n v="2021"/>
    <s v="Deaths"/>
    <s v="Bay of Plenty region"/>
    <n v="2760"/>
  </r>
  <r>
    <n v="2021"/>
    <s v="Deaths"/>
    <s v="Gisborne region"/>
    <n v="393"/>
  </r>
  <r>
    <n v="2021"/>
    <s v="Deaths"/>
    <s v="Hawke's Bay region"/>
    <n v="1548"/>
  </r>
  <r>
    <n v="2021"/>
    <s v="Deaths"/>
    <s v="Taranaki region"/>
    <n v="1035"/>
  </r>
  <r>
    <n v="2021"/>
    <s v="Deaths"/>
    <s v="Manawatu-Wanganui region"/>
    <n v="2295"/>
  </r>
  <r>
    <n v="2021"/>
    <s v="Deaths"/>
    <s v="Wellington region"/>
    <n v="3588"/>
  </r>
  <r>
    <n v="2021"/>
    <s v="Deaths"/>
    <s v="Tasman region"/>
    <n v="420"/>
  </r>
  <r>
    <n v="2021"/>
    <s v="Deaths"/>
    <s v="Nelson region"/>
    <n v="468"/>
  </r>
  <r>
    <n v="2021"/>
    <s v="Deaths"/>
    <s v="Marlborough region"/>
    <n v="471"/>
  </r>
  <r>
    <n v="2021"/>
    <s v="Deaths"/>
    <s v="West Coast region"/>
    <n v="336"/>
  </r>
  <r>
    <n v="2021"/>
    <s v="Deaths"/>
    <s v="Canterbury region"/>
    <n v="4689"/>
  </r>
  <r>
    <n v="2021"/>
    <s v="Deaths"/>
    <s v="Otago region"/>
    <n v="1764"/>
  </r>
  <r>
    <n v="2021"/>
    <s v="Deaths"/>
    <s v="Southland region"/>
    <n v="891"/>
  </r>
  <r>
    <n v="2021"/>
    <s v="Deaths"/>
    <s v="Region not stated or_x000a_area outside region"/>
    <n v="39"/>
  </r>
  <r>
    <n v="2021"/>
    <s v="Deaths"/>
    <s v="New Zealand"/>
    <n v="34929"/>
  </r>
  <r>
    <n v="2022"/>
    <s v="Births"/>
    <s v="Northland region"/>
    <n v="2367"/>
  </r>
  <r>
    <n v="2022"/>
    <s v="Births"/>
    <s v="Auckland region"/>
    <n v="20469"/>
  </r>
  <r>
    <n v="2022"/>
    <s v="Births"/>
    <s v="Waikato region"/>
    <n v="6387"/>
  </r>
  <r>
    <n v="2022"/>
    <s v="Births"/>
    <s v="Bay of Plenty region"/>
    <n v="4257"/>
  </r>
  <r>
    <n v="2022"/>
    <s v="Births"/>
    <s v="Gisborne region"/>
    <n v="723"/>
  </r>
  <r>
    <n v="2022"/>
    <s v="Births"/>
    <s v="Hawke's Bay region"/>
    <n v="2076"/>
  </r>
  <r>
    <n v="2022"/>
    <s v="Births"/>
    <s v="Taranaki region"/>
    <n v="1458"/>
  </r>
  <r>
    <n v="2022"/>
    <s v="Births"/>
    <s v="Manawatu-Wanganui region"/>
    <n v="3030"/>
  </r>
  <r>
    <n v="2022"/>
    <s v="Births"/>
    <s v="Wellington region"/>
    <n v="5610"/>
  </r>
  <r>
    <n v="2022"/>
    <s v="Births"/>
    <s v="Tasman region"/>
    <n v="483"/>
  </r>
  <r>
    <n v="2022"/>
    <s v="Births"/>
    <s v="Nelson region"/>
    <n v="483"/>
  </r>
  <r>
    <n v="2022"/>
    <s v="Births"/>
    <s v="Marlborough region"/>
    <n v="480"/>
  </r>
  <r>
    <n v="2022"/>
    <s v="Births"/>
    <s v="West Coast region"/>
    <n v="303"/>
  </r>
  <r>
    <n v="2022"/>
    <s v="Births"/>
    <s v="Canterbury region"/>
    <n v="7284"/>
  </r>
  <r>
    <n v="2022"/>
    <s v="Births"/>
    <s v="Otago region"/>
    <n v="2328"/>
  </r>
  <r>
    <n v="2022"/>
    <s v="Births"/>
    <s v="Southland region"/>
    <n v="1143"/>
  </r>
  <r>
    <n v="2022"/>
    <s v="Births"/>
    <s v="Region not stated or_x000a_area outside region"/>
    <n v="6"/>
  </r>
  <r>
    <n v="2022"/>
    <s v="Births"/>
    <s v="New Zealand"/>
    <n v="58887"/>
  </r>
  <r>
    <n v="2022"/>
    <s v="Deaths"/>
    <s v="Northland region"/>
    <n v="1986"/>
  </r>
  <r>
    <n v="2022"/>
    <s v="Deaths"/>
    <s v="Auckland region"/>
    <n v="9783"/>
  </r>
  <r>
    <n v="2022"/>
    <s v="Deaths"/>
    <s v="Waikato region"/>
    <n v="4101"/>
  </r>
  <r>
    <n v="2022"/>
    <s v="Deaths"/>
    <s v="Bay of Plenty region"/>
    <n v="3183"/>
  </r>
  <r>
    <n v="2022"/>
    <s v="Deaths"/>
    <s v="Gisborne region"/>
    <n v="441"/>
  </r>
  <r>
    <n v="2022"/>
    <s v="Deaths"/>
    <s v="Hawke's Bay region"/>
    <n v="1704"/>
  </r>
  <r>
    <n v="2022"/>
    <s v="Deaths"/>
    <s v="Taranaki region"/>
    <n v="1113"/>
  </r>
  <r>
    <n v="2022"/>
    <s v="Deaths"/>
    <s v="Manawatu-Wanganui region"/>
    <n v="2457"/>
  </r>
  <r>
    <n v="2022"/>
    <s v="Deaths"/>
    <s v="Wellington region"/>
    <n v="3804"/>
  </r>
  <r>
    <n v="2022"/>
    <s v="Deaths"/>
    <s v="Tasman region"/>
    <n v="444"/>
  </r>
  <r>
    <n v="2022"/>
    <s v="Deaths"/>
    <s v="Nelson region"/>
    <n v="531"/>
  </r>
  <r>
    <n v="2022"/>
    <s v="Deaths"/>
    <s v="Marlborough region"/>
    <n v="453"/>
  </r>
  <r>
    <n v="2022"/>
    <s v="Deaths"/>
    <s v="West Coast region"/>
    <n v="363"/>
  </r>
  <r>
    <n v="2022"/>
    <s v="Deaths"/>
    <s v="Canterbury region"/>
    <n v="5319"/>
  </r>
  <r>
    <n v="2022"/>
    <s v="Deaths"/>
    <s v="Otago region"/>
    <n v="1932"/>
  </r>
  <r>
    <n v="2022"/>
    <s v="Deaths"/>
    <s v="Southland region"/>
    <n v="933"/>
  </r>
  <r>
    <n v="2022"/>
    <s v="Deaths"/>
    <s v="Region not stated or_x000a_area outside region"/>
    <n v="33"/>
  </r>
  <r>
    <n v="2022"/>
    <s v="Deaths"/>
    <s v="New Zealand"/>
    <n v="385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C114A-17AF-4074-B7DB-0A577EB0008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2:M13" firstHeaderRow="1" firstDataRow="1" firstDataCol="0"/>
  <pivotFields count="27">
    <pivotField showAll="0"/>
    <pivotField showAll="0"/>
    <pivotField dataField="1" showAll="0"/>
    <pivotField showAll="0"/>
    <pivotField showAll="0"/>
    <pivotField numFmtId="164" showAll="0"/>
    <pivotField numFmtId="165" showAll="0"/>
    <pivotField numFmtId="1" showAll="0"/>
    <pivotField numFmtId="164" showAll="0"/>
    <pivotField numFmtId="165" showAll="0"/>
    <pivotField numFmtId="1" showAll="0"/>
    <pivotField numFmtId="164" showAll="0"/>
    <pivotField numFmtId="165" showAll="0"/>
    <pivotField numFmtId="164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</pivotFields>
  <rowItems count="1">
    <i/>
  </rowItems>
  <colItems count="1">
    <i/>
  </colItems>
  <dataFields count="1">
    <dataField name="Sum of Total mothers per yea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8F6C0-2C55-49AD-B19F-3178C3D81B64}" name="PivotTable1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9">
  <location ref="F5:G24" firstHeaderRow="1" firstDataRow="1" firstDataCol="1"/>
  <pivotFields count="2">
    <pivotField axis="axisRow" allDrilled="1" subtotalTop="0" showAll="0" defaultSubtotal="0" defaultAttributeDrillState="1">
      <items count="18">
        <item x="2"/>
        <item x="3"/>
        <item x="4"/>
        <item x="5"/>
        <item x="6"/>
        <item x="0"/>
        <item x="1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dataField="1" subtotalTop="0" showAll="0" defaultSubtota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 Valid Birth Count" fld="1" baseField="0" baseItem="0"/>
  </dataField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Total mothers per year"/>
    <pivotHierarchy dragToData="1" caption="Count of Total mothers per year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7]"/>
        <x15:activeTabTopLevelEntity name="[Table6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E8F4B-E55A-4791-B693-597BC8E8E009}" name="PivotTable12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9">
  <location ref="A3:B9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1"/>
    </i>
    <i>
      <x/>
    </i>
    <i>
      <x v="3"/>
    </i>
    <i>
      <x v="2"/>
    </i>
    <i>
      <x v="4"/>
    </i>
    <i t="grand">
      <x/>
    </i>
  </rowItems>
  <colItems count="1">
    <i/>
  </colItems>
  <dataFields count="1">
    <dataField name="Sum of Total mothers per year" fld="1" baseField="0" baseItem="0"/>
  </dataFields>
  <chartFormats count="2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Total mothers per year"/>
    <pivotHierarchy dragToData="1" caption="Count of Total mothers per year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6" iMeasureHier="66">
      <autoFilter ref="A1">
        <filterColumn colId="0">
          <top10 val="5" filterVal="5"/>
        </filterColumn>
      </autoFilter>
    </filter>
  </filters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7]"/>
        <x15:activeTabTopLevelEntity name="[Table6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2860C-6BF4-4272-8D90-F01037CC20D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27">
    <pivotField axis="axisRow" showAll="0" measureFilter="1" sortType="de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numFmtId="165" showAll="0"/>
    <pivotField dataField="1" numFmtId="1" showAll="0"/>
    <pivotField numFmtId="164" showAll="0"/>
    <pivotField numFmtId="165" showAll="0"/>
    <pivotField numFmtId="1" showAll="0"/>
    <pivotField numFmtId="164" showAll="0"/>
    <pivotField numFmtId="165" showAll="0"/>
    <pivotField numFmtId="164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</pivotFields>
  <rowFields count="1">
    <field x="0"/>
  </rowFields>
  <rowItems count="6">
    <i>
      <x v="3"/>
    </i>
    <i>
      <x v="2"/>
    </i>
    <i>
      <x v="4"/>
    </i>
    <i>
      <x v="5"/>
    </i>
    <i>
      <x v="1"/>
    </i>
    <i t="grand">
      <x/>
    </i>
  </rowItems>
  <colItems count="1">
    <i/>
  </colItems>
  <dataFields count="1">
    <dataField name="Average of Total_number of Mothers &lt;20 years" fld="7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D37D8-E1AA-4182-AA39-C4122DA0AED0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J17:K23" firstHeaderRow="1" firstDataRow="1" firstDataCol="1"/>
  <pivotFields count="27">
    <pivotField axis="axisRow" showAll="0" measureFilter="1" sortType="de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164" showAll="0"/>
    <pivotField numFmtId="165" showAll="0"/>
    <pivotField numFmtId="1" showAll="0"/>
    <pivotField numFmtId="164" showAll="0"/>
    <pivotField numFmtId="165" showAll="0"/>
    <pivotField numFmtId="1" showAll="0"/>
    <pivotField numFmtId="164" showAll="0"/>
    <pivotField numFmtId="165" showAll="0"/>
    <pivotField numFmtId="164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</pivotFields>
  <rowFields count="1">
    <field x="0"/>
  </rowFields>
  <rowItems count="6">
    <i>
      <x v="3"/>
    </i>
    <i>
      <x v="2"/>
    </i>
    <i>
      <x v="5"/>
    </i>
    <i>
      <x v="4"/>
    </i>
    <i>
      <x v="6"/>
    </i>
    <i t="grand">
      <x/>
    </i>
  </rowItems>
  <colItems count="1">
    <i/>
  </colItems>
  <dataFields count="1">
    <dataField name="Sum of Total Valid Birth Count" fld="1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AA5E0-280C-4E6D-B2F1-D795597C6CA2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1:H38" firstHeaderRow="1" firstDataRow="1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15DAA-CB6A-4923-90D3-BA312985740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D4:E23" firstHeaderRow="1" firstDataRow="1" firstDataCol="1"/>
  <pivotFields count="27"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>
      <items count="19">
        <item x="9"/>
        <item x="15"/>
        <item x="0"/>
        <item x="13"/>
        <item x="16"/>
        <item x="8"/>
        <item x="17"/>
        <item x="1"/>
        <item x="11"/>
        <item x="12"/>
        <item x="14"/>
        <item x="10"/>
        <item x="7"/>
        <item x="6"/>
        <item x="4"/>
        <item x="5"/>
        <item x="2"/>
        <item x="3"/>
        <item t="default"/>
      </items>
    </pivotField>
    <pivotField showAll="0"/>
    <pivotField showAll="0"/>
    <pivotField showAll="0"/>
    <pivotField numFmtId="164" showAll="0"/>
    <pivotField numFmtId="165" showAll="0"/>
    <pivotField dataField="1" numFmtId="1" showAll="0">
      <items count="19">
        <item x="16"/>
        <item x="17"/>
        <item x="15"/>
        <item x="14"/>
        <item x="13"/>
        <item x="12"/>
        <item x="11"/>
        <item x="10"/>
        <item x="9"/>
        <item x="8"/>
        <item x="7"/>
        <item x="6"/>
        <item x="0"/>
        <item x="1"/>
        <item x="5"/>
        <item x="4"/>
        <item x="2"/>
        <item x="3"/>
        <item t="default"/>
      </items>
    </pivotField>
    <pivotField numFmtId="164" showAll="0"/>
    <pivotField numFmtId="165" showAll="0"/>
    <pivotField numFmtId="1" showAll="0"/>
    <pivotField numFmtId="164" showAll="0"/>
    <pivotField numFmtId="165" showAll="0"/>
    <pivotField numFmtId="164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_number of Mothers &lt;20 years" fld="7" baseField="1" baseItem="7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F1644-5392-4391-AAB4-4F72329B76C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I6:J12" firstHeaderRow="1" firstDataRow="1" firstDataCol="1"/>
  <pivotFields count="27">
    <pivotField axis="axisRow" showAll="0" measureFilter="1" sortType="de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9">
        <item x="9"/>
        <item x="15"/>
        <item x="0"/>
        <item x="13"/>
        <item x="16"/>
        <item x="8"/>
        <item x="17"/>
        <item x="1"/>
        <item x="11"/>
        <item x="12"/>
        <item x="14"/>
        <item x="10"/>
        <item x="7"/>
        <item x="6"/>
        <item x="4"/>
        <item x="5"/>
        <item x="2"/>
        <item x="3"/>
        <item t="default"/>
      </items>
    </pivotField>
    <pivotField showAll="0"/>
    <pivotField showAll="0"/>
    <pivotField showAll="0"/>
    <pivotField numFmtId="164" showAll="0"/>
    <pivotField numFmtId="165" showAll="0"/>
    <pivotField numFmtId="1" showAll="0"/>
    <pivotField numFmtId="164" showAll="0"/>
    <pivotField numFmtId="165" showAll="0"/>
    <pivotField numFmtId="1" showAll="0"/>
    <pivotField numFmtId="164" showAll="0"/>
    <pivotField numFmtId="165" showAll="0"/>
    <pivotField dataField="1" numFmtId="164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</pivotFields>
  <rowFields count="1">
    <field x="0"/>
  </rowFields>
  <rowItems count="6">
    <i>
      <x v="7"/>
    </i>
    <i>
      <x v="5"/>
    </i>
    <i>
      <x v="8"/>
    </i>
    <i>
      <x v="6"/>
    </i>
    <i>
      <x v="10"/>
    </i>
    <i t="grand">
      <x/>
    </i>
  </rowItems>
  <colItems count="1">
    <i/>
  </colItems>
  <dataFields count="1">
    <dataField name="Average of Total_number of Mothers &gt;40 years" fld="13" subtotal="average" baseField="1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F67CB0-5ECA-4171-95B2-8774FD938703}" name="Table6" displayName="Table6" ref="A1:AA19" totalsRowShown="0">
  <autoFilter ref="A1:AA19" xr:uid="{5CF67CB0-5ECA-4171-95B2-8774FD938703}"/>
  <tableColumns count="27">
    <tableColumn id="1" xr3:uid="{749B3687-6EC3-4A51-8E5D-10960C7FE760}" name="Period" dataDxfId="16"/>
    <tableColumn id="2" xr3:uid="{C305F406-F6C6-46FF-8DED-62BF0516F3B7}" name="Total Valid Birth Count"/>
    <tableColumn id="3" xr3:uid="{E4B82BE1-B81E-4D2D-92D1-CF168DE2A084}" name="Total mothers per year"/>
    <tableColumn id="4" xr3:uid="{197927CC-E05E-4CE1-89E2-F3D6486FA195}" name="Mothers with 2+ births per year"/>
    <tableColumn id="5" xr3:uid="{84A8518D-A369-44A7-AFDF-4515A994A65B}" name="Column1"/>
    <tableColumn id="6" xr3:uid="{8E762D2E-D73D-4E7D-9DE7-4A2D78493E06}" name="% of mothers &lt; 20 years" dataDxfId="15"/>
    <tableColumn id="7" xr3:uid="{0F9E63D3-94B9-4C25-AAF0-8A2045343F0F}" name="% of mother &lt; 20 / 100" dataDxfId="14"/>
    <tableColumn id="8" xr3:uid="{B15CBE30-3C33-47E0-92A1-AF478699CC3A}" name="Total_number of Mothers &lt;20 years" dataDxfId="13"/>
    <tableColumn id="9" xr3:uid="{70F88D69-3ACC-46EB-B091-8AEEB1DFC2AD}" name="% of mothers between 20 &amp; 39 years" dataDxfId="12"/>
    <tableColumn id="10" xr3:uid="{3839E904-6F1D-4D9E-BDEB-3EB549C29A3A}" name="% of mothers (20-39)/100" dataDxfId="11"/>
    <tableColumn id="11" xr3:uid="{B1A791A9-54E9-4D07-9298-8AE03430F2E0}" name="Total_number of Mothers 20-39 years" dataDxfId="10"/>
    <tableColumn id="12" xr3:uid="{7378DA16-3910-44A2-BBD7-6DC484DA7317}" name="% of mothers &gt; 40 years" dataDxfId="9"/>
    <tableColumn id="13" xr3:uid="{D3C548A1-2076-4516-9B5F-76B370207AD6}" name="% of mother &gt; 40 / 100" dataDxfId="8"/>
    <tableColumn id="14" xr3:uid="{B04A6FA7-E781-4127-9CC5-D06D60450F84}" name="Total_number of Mothers &gt;40 years" dataDxfId="7"/>
    <tableColumn id="15" xr3:uid="{492D5020-056E-4DA1-AB36-32F63FD46F62}" name="Column2"/>
    <tableColumn id="16" xr3:uid="{DA28F339-EB5F-4D7C-A1A2-47714288D9E8}" name="% of mothers =/&gt; 20" dataDxfId="6"/>
    <tableColumn id="17" xr3:uid="{22044AD0-9E8D-412F-BB7F-BE203354EE97}" name="Column3" dataDxfId="5"/>
    <tableColumn id="18" xr3:uid="{6EE9D001-7618-43A3-B445-DEC65C0D0949}" name="Aging Maternal Metrics "/>
    <tableColumn id="19" xr3:uid="{EE08F6B1-DA31-4479-BDBA-76D4173225FE}" name="Column4"/>
    <tableColumn id="20" xr3:uid="{8A125E12-7F3E-45F4-967E-ABC2D145FF94}" name="Column5" dataDxfId="4"/>
    <tableColumn id="21" xr3:uid="{98F358A6-071A-42E8-A88E-992258D12BD3}" name="Teen Pregnancy Metrics" dataDxfId="3"/>
    <tableColumn id="22" xr3:uid="{D9B64305-5E13-4F15-A337-8DB96049979B}" name="Column6" dataDxfId="2"/>
    <tableColumn id="23" xr3:uid="{72E3A6B0-EB26-4A6B-BE91-8954CB4967CE}" name="Column7"/>
    <tableColumn id="24" xr3:uid="{9D2E70AA-FEBA-4CE9-A68F-14122BE89086}" name="Y-o-Y change"/>
    <tableColumn id="25" xr3:uid="{49139C9C-091E-473D-8153-74407901D4DC}" name="Column8" dataDxfId="1"/>
    <tableColumn id="26" xr3:uid="{A918205F-1F04-47FB-A87A-8F94E8392FE8}" name="Column9"/>
    <tableColumn id="27" xr3:uid="{F795F0BE-D3B1-429D-B1AA-8F43F4C85692}" name="Column10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DA2F84-CF84-4587-8460-5B3EA298FE5A}" name="Table7" displayName="Table7" ref="A1:D649" totalsRowShown="0">
  <autoFilter ref="A1:D649" xr:uid="{00000000-0009-0000-0000-000004000000}">
    <filterColumn colId="1">
      <filters>
        <filter val="Births"/>
      </filters>
    </filterColumn>
    <filterColumn colId="2">
      <filters>
        <filter val="Auckland region"/>
        <filter val="Bay of Plenty region"/>
        <filter val="Canterbury region"/>
        <filter val="Gisborne region"/>
        <filter val="Hawke's Bay region"/>
        <filter val="Manawatu-Wanganui region"/>
        <filter val="Marlborough region"/>
        <filter val="Nelson region"/>
        <filter val="Northland region"/>
        <filter val="Otago region"/>
        <filter val="Southland region"/>
        <filter val="Taranaki region"/>
        <filter val="Tasman region"/>
        <filter val="Waikato region"/>
        <filter val="Wellington region"/>
        <filter val="West Coast region"/>
      </filters>
    </filterColumn>
  </autoFilter>
  <tableColumns count="4">
    <tableColumn id="1" xr3:uid="{4D3A7A15-BFDC-4FC4-AA49-7FD02FAF3869}" name="Period"/>
    <tableColumn id="2" xr3:uid="{61623B71-E41C-4928-9181-BEF07EF5FADD}" name="Birth_Death"/>
    <tableColumn id="3" xr3:uid="{72A75C9E-BFAD-4E7E-A7E4-CB63301FCC39}" name="Region"/>
    <tableColumn id="4" xr3:uid="{73D736AA-24BD-45DC-B471-8E7F6B1CB6A9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 /><Relationship Id="rId2" Type="http://schemas.openxmlformats.org/officeDocument/2006/relationships/pivotTable" Target="../pivotTables/pivotTable2.xml" /><Relationship Id="rId1" Type="http://schemas.openxmlformats.org/officeDocument/2006/relationships/pivotTable" Target="../pivotTables/pivotTable1.xml" /><Relationship Id="rId4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 /><Relationship Id="rId2" Type="http://schemas.openxmlformats.org/officeDocument/2006/relationships/pivotTable" Target="../pivotTables/pivotTable5.xml" /><Relationship Id="rId1" Type="http://schemas.openxmlformats.org/officeDocument/2006/relationships/pivotTable" Target="../pivotTables/pivotTable4.xml" /><Relationship Id="rId6" Type="http://schemas.openxmlformats.org/officeDocument/2006/relationships/drawing" Target="../drawings/drawing3.xml" /><Relationship Id="rId5" Type="http://schemas.openxmlformats.org/officeDocument/2006/relationships/pivotTable" Target="../pivotTables/pivotTable8.xml" /><Relationship Id="rId4" Type="http://schemas.openxmlformats.org/officeDocument/2006/relationships/pivotTable" Target="../pivotTables/pivotTable7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FBCB-6299-48C1-BEFA-09FBB3D0B2B6}">
  <dimension ref="U14"/>
  <sheetViews>
    <sheetView showGridLines="0" showRowColHeaders="0" tabSelected="1" zoomScale="60" zoomScaleNormal="60" workbookViewId="0">
      <selection activeCell="X17" sqref="X17"/>
    </sheetView>
  </sheetViews>
  <sheetFormatPr defaultRowHeight="15" x14ac:dyDescent="0.2"/>
  <sheetData>
    <row r="14" spans="21:21" x14ac:dyDescent="0.2">
      <c r="U14" t="s">
        <v>81</v>
      </c>
    </row>
  </sheetData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4A9D-635C-484E-A23F-EB1EB5FF4C3D}">
  <dimension ref="A3:M24"/>
  <sheetViews>
    <sheetView topLeftCell="E5" workbookViewId="0">
      <selection activeCell="M12" sqref="M12"/>
    </sheetView>
  </sheetViews>
  <sheetFormatPr defaultRowHeight="15" x14ac:dyDescent="0.2"/>
  <cols>
    <col min="1" max="1" width="12.375" bestFit="1" customWidth="1"/>
    <col min="2" max="2" width="26.6328125" bestFit="1" customWidth="1"/>
    <col min="3" max="5" width="5.78125" bestFit="1" customWidth="1"/>
    <col min="6" max="6" width="12.375" bestFit="1" customWidth="1"/>
    <col min="7" max="7" width="26.5" bestFit="1" customWidth="1"/>
    <col min="8" max="12" width="5.78125" bestFit="1" customWidth="1"/>
    <col min="13" max="13" width="26.6328125" bestFit="1" customWidth="1"/>
    <col min="14" max="19" width="5.78125" bestFit="1" customWidth="1"/>
    <col min="20" max="20" width="10.76171875" bestFit="1" customWidth="1"/>
  </cols>
  <sheetData>
    <row r="3" spans="1:13" x14ac:dyDescent="0.2">
      <c r="A3" s="7" t="s">
        <v>79</v>
      </c>
      <c r="B3" t="s">
        <v>92</v>
      </c>
    </row>
    <row r="4" spans="1:13" x14ac:dyDescent="0.2">
      <c r="A4" s="8">
        <v>2008</v>
      </c>
      <c r="B4" s="6">
        <v>64341</v>
      </c>
    </row>
    <row r="5" spans="1:13" x14ac:dyDescent="0.2">
      <c r="A5" s="8">
        <v>2007</v>
      </c>
      <c r="B5" s="6">
        <v>64041</v>
      </c>
      <c r="F5" s="7" t="s">
        <v>79</v>
      </c>
      <c r="G5" t="s">
        <v>82</v>
      </c>
    </row>
    <row r="6" spans="1:13" x14ac:dyDescent="0.2">
      <c r="A6" s="8">
        <v>2010</v>
      </c>
      <c r="B6" s="6">
        <v>63894</v>
      </c>
      <c r="F6" s="8">
        <v>2007</v>
      </c>
      <c r="G6" s="6">
        <v>1082331</v>
      </c>
    </row>
    <row r="7" spans="1:13" x14ac:dyDescent="0.2">
      <c r="A7" s="8">
        <v>2009</v>
      </c>
      <c r="B7" s="6">
        <v>62541</v>
      </c>
      <c r="F7" s="8">
        <v>2008</v>
      </c>
      <c r="G7" s="6">
        <v>1082331</v>
      </c>
    </row>
    <row r="8" spans="1:13" x14ac:dyDescent="0.2">
      <c r="A8" s="8">
        <v>2011</v>
      </c>
      <c r="B8" s="6">
        <v>61404</v>
      </c>
      <c r="F8" s="8">
        <v>2009</v>
      </c>
      <c r="G8" s="6">
        <v>1082331</v>
      </c>
    </row>
    <row r="9" spans="1:13" x14ac:dyDescent="0.2">
      <c r="A9" s="8" t="s">
        <v>80</v>
      </c>
      <c r="B9" s="6">
        <v>316221</v>
      </c>
      <c r="F9" s="8">
        <v>2010</v>
      </c>
      <c r="G9" s="6">
        <v>1082331</v>
      </c>
    </row>
    <row r="10" spans="1:13" x14ac:dyDescent="0.2">
      <c r="F10" s="8">
        <v>2011</v>
      </c>
      <c r="G10" s="6">
        <v>1082331</v>
      </c>
    </row>
    <row r="11" spans="1:13" x14ac:dyDescent="0.2">
      <c r="F11" s="8">
        <v>2005</v>
      </c>
      <c r="G11" s="6">
        <v>1082331</v>
      </c>
    </row>
    <row r="12" spans="1:13" x14ac:dyDescent="0.2">
      <c r="F12" s="8">
        <v>2006</v>
      </c>
      <c r="G12" s="6">
        <v>1082331</v>
      </c>
      <c r="M12" t="s">
        <v>92</v>
      </c>
    </row>
    <row r="13" spans="1:13" x14ac:dyDescent="0.2">
      <c r="F13" s="8">
        <v>2012</v>
      </c>
      <c r="G13" s="6">
        <v>1082331</v>
      </c>
      <c r="M13" s="6">
        <v>1083168</v>
      </c>
    </row>
    <row r="14" spans="1:13" x14ac:dyDescent="0.2">
      <c r="F14" s="8">
        <v>2013</v>
      </c>
      <c r="G14" s="6">
        <v>1082331</v>
      </c>
    </row>
    <row r="15" spans="1:13" x14ac:dyDescent="0.2">
      <c r="F15" s="8">
        <v>2014</v>
      </c>
      <c r="G15" s="6">
        <v>1082331</v>
      </c>
    </row>
    <row r="16" spans="1:13" x14ac:dyDescent="0.2">
      <c r="F16" s="8">
        <v>2015</v>
      </c>
      <c r="G16" s="6">
        <v>1082331</v>
      </c>
    </row>
    <row r="17" spans="6:7" x14ac:dyDescent="0.2">
      <c r="F17" s="8">
        <v>2016</v>
      </c>
      <c r="G17" s="6">
        <v>1082331</v>
      </c>
    </row>
    <row r="18" spans="6:7" x14ac:dyDescent="0.2">
      <c r="F18" s="8">
        <v>2017</v>
      </c>
      <c r="G18" s="6">
        <v>1082331</v>
      </c>
    </row>
    <row r="19" spans="6:7" x14ac:dyDescent="0.2">
      <c r="F19" s="8">
        <v>2018</v>
      </c>
      <c r="G19" s="6">
        <v>1082331</v>
      </c>
    </row>
    <row r="20" spans="6:7" x14ac:dyDescent="0.2">
      <c r="F20" s="8">
        <v>2019</v>
      </c>
      <c r="G20" s="6">
        <v>1082331</v>
      </c>
    </row>
    <row r="21" spans="6:7" x14ac:dyDescent="0.2">
      <c r="F21" s="8">
        <v>2020</v>
      </c>
      <c r="G21" s="6">
        <v>1082331</v>
      </c>
    </row>
    <row r="22" spans="6:7" x14ac:dyDescent="0.2">
      <c r="F22" s="8">
        <v>2021</v>
      </c>
      <c r="G22" s="6">
        <v>1082331</v>
      </c>
    </row>
    <row r="23" spans="6:7" x14ac:dyDescent="0.2">
      <c r="F23" s="8">
        <v>2022</v>
      </c>
      <c r="G23" s="6">
        <v>1082331</v>
      </c>
    </row>
    <row r="24" spans="6:7" x14ac:dyDescent="0.2">
      <c r="F24" s="8" t="s">
        <v>80</v>
      </c>
      <c r="G24" s="6">
        <v>1082331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6112-8B12-41D6-B5F5-8CAAEBEE4321}">
  <dimension ref="A3:K38"/>
  <sheetViews>
    <sheetView topLeftCell="H6" workbookViewId="0">
      <selection activeCell="J6" sqref="I6:J12"/>
    </sheetView>
  </sheetViews>
  <sheetFormatPr defaultRowHeight="15" x14ac:dyDescent="0.2"/>
  <cols>
    <col min="1" max="1" width="12.375" bestFit="1" customWidth="1"/>
    <col min="2" max="2" width="40.89453125" bestFit="1" customWidth="1"/>
    <col min="4" max="4" width="12.375" bestFit="1" customWidth="1"/>
    <col min="5" max="5" width="37.80078125" bestFit="1" customWidth="1"/>
    <col min="6" max="6" width="26.5" bestFit="1" customWidth="1"/>
    <col min="9" max="10" width="12.375" bestFit="1" customWidth="1"/>
    <col min="11" max="11" width="26.5" bestFit="1" customWidth="1"/>
  </cols>
  <sheetData>
    <row r="3" spans="1:10" x14ac:dyDescent="0.2">
      <c r="A3" s="7" t="s">
        <v>79</v>
      </c>
      <c r="B3" t="s">
        <v>90</v>
      </c>
    </row>
    <row r="4" spans="1:10" x14ac:dyDescent="0.2">
      <c r="A4" s="8">
        <v>2008</v>
      </c>
      <c r="B4" s="6">
        <v>5223</v>
      </c>
      <c r="D4" s="7" t="s">
        <v>79</v>
      </c>
      <c r="E4" t="s">
        <v>89</v>
      </c>
    </row>
    <row r="5" spans="1:10" x14ac:dyDescent="0.2">
      <c r="A5" s="8">
        <v>2007</v>
      </c>
      <c r="B5" s="6">
        <v>4953</v>
      </c>
      <c r="D5" s="8">
        <v>57219</v>
      </c>
      <c r="E5" s="6">
        <v>2922</v>
      </c>
    </row>
    <row r="6" spans="1:10" x14ac:dyDescent="0.2">
      <c r="A6" s="8">
        <v>2009</v>
      </c>
      <c r="B6" s="6">
        <v>4671</v>
      </c>
      <c r="D6" s="8">
        <v>57546</v>
      </c>
      <c r="E6" s="6">
        <v>1893</v>
      </c>
      <c r="I6" s="7" t="s">
        <v>79</v>
      </c>
      <c r="J6" t="s">
        <v>91</v>
      </c>
    </row>
    <row r="7" spans="1:10" x14ac:dyDescent="0.2">
      <c r="A7" s="8">
        <v>2010</v>
      </c>
      <c r="B7" s="6">
        <v>4551</v>
      </c>
      <c r="D7" s="8">
        <v>57675</v>
      </c>
      <c r="E7" s="6">
        <v>4134</v>
      </c>
      <c r="I7" s="8">
        <v>2012</v>
      </c>
      <c r="J7" s="6">
        <v>2634</v>
      </c>
    </row>
    <row r="8" spans="1:10" x14ac:dyDescent="0.2">
      <c r="A8" s="8">
        <v>2006</v>
      </c>
      <c r="B8" s="6">
        <v>4374</v>
      </c>
      <c r="D8" s="8">
        <v>57996</v>
      </c>
      <c r="E8" s="6">
        <v>2076</v>
      </c>
      <c r="I8" s="8">
        <v>2010</v>
      </c>
      <c r="J8" s="6">
        <v>2622</v>
      </c>
    </row>
    <row r="9" spans="1:10" x14ac:dyDescent="0.2">
      <c r="A9" s="8" t="s">
        <v>80</v>
      </c>
      <c r="B9" s="6">
        <v>4754.3999999999996</v>
      </c>
      <c r="D9" s="8">
        <v>58647</v>
      </c>
      <c r="E9" s="6">
        <v>1596</v>
      </c>
      <c r="I9" s="8">
        <v>2013</v>
      </c>
      <c r="J9" s="6">
        <v>2583</v>
      </c>
    </row>
    <row r="10" spans="1:10" x14ac:dyDescent="0.2">
      <c r="D10" s="8">
        <v>58701</v>
      </c>
      <c r="E10" s="6">
        <v>3303.0000000000005</v>
      </c>
      <c r="I10" s="8">
        <v>2011</v>
      </c>
      <c r="J10" s="6">
        <v>2544</v>
      </c>
    </row>
    <row r="11" spans="1:10" x14ac:dyDescent="0.2">
      <c r="D11" s="8">
        <v>58881</v>
      </c>
      <c r="E11" s="6">
        <v>1719</v>
      </c>
      <c r="I11" s="8">
        <v>2015</v>
      </c>
      <c r="J11" s="6">
        <v>2541</v>
      </c>
    </row>
    <row r="12" spans="1:10" x14ac:dyDescent="0.2">
      <c r="D12" s="8">
        <v>59058</v>
      </c>
      <c r="E12" s="6">
        <v>4374</v>
      </c>
      <c r="I12" s="8" t="s">
        <v>80</v>
      </c>
      <c r="J12" s="6">
        <v>2584.8000000000002</v>
      </c>
    </row>
    <row r="13" spans="1:10" x14ac:dyDescent="0.2">
      <c r="D13" s="8">
        <v>59406</v>
      </c>
      <c r="E13" s="6">
        <v>2481</v>
      </c>
    </row>
    <row r="14" spans="1:10" x14ac:dyDescent="0.2">
      <c r="D14" s="8">
        <v>59595</v>
      </c>
      <c r="E14" s="6">
        <v>2316</v>
      </c>
    </row>
    <row r="15" spans="1:10" x14ac:dyDescent="0.2">
      <c r="D15" s="8">
        <v>59613</v>
      </c>
      <c r="E15" s="6">
        <v>1995</v>
      </c>
    </row>
    <row r="16" spans="1:10" x14ac:dyDescent="0.2">
      <c r="D16" s="8">
        <v>61029</v>
      </c>
      <c r="E16" s="6">
        <v>2865.0000000000005</v>
      </c>
    </row>
    <row r="17" spans="4:11" x14ac:dyDescent="0.2">
      <c r="D17" s="8">
        <v>61164</v>
      </c>
      <c r="E17" s="6">
        <v>3786</v>
      </c>
      <c r="J17" s="7" t="s">
        <v>79</v>
      </c>
      <c r="K17" t="s">
        <v>82</v>
      </c>
    </row>
    <row r="18" spans="4:11" x14ac:dyDescent="0.2">
      <c r="D18" s="8">
        <v>61380</v>
      </c>
      <c r="E18" s="6">
        <v>4008</v>
      </c>
      <c r="J18" s="8">
        <v>2008</v>
      </c>
      <c r="K18" s="6">
        <v>64278</v>
      </c>
    </row>
    <row r="19" spans="4:11" x14ac:dyDescent="0.2">
      <c r="D19" s="8">
        <v>62457</v>
      </c>
      <c r="E19" s="6">
        <v>4671</v>
      </c>
      <c r="J19" s="8">
        <v>2007</v>
      </c>
      <c r="K19" s="6">
        <v>63873</v>
      </c>
    </row>
    <row r="20" spans="4:11" x14ac:dyDescent="0.2">
      <c r="D20" s="8">
        <v>63813</v>
      </c>
      <c r="E20" s="6">
        <v>4551</v>
      </c>
      <c r="J20" s="8">
        <v>2010</v>
      </c>
      <c r="K20" s="6">
        <v>63813</v>
      </c>
    </row>
    <row r="21" spans="4:11" x14ac:dyDescent="0.2">
      <c r="D21" s="8">
        <v>63873</v>
      </c>
      <c r="E21" s="6">
        <v>4953</v>
      </c>
      <c r="F21" s="9"/>
      <c r="G21" s="10"/>
      <c r="H21" s="11"/>
      <c r="J21" s="8">
        <v>2009</v>
      </c>
      <c r="K21" s="6">
        <v>62457</v>
      </c>
    </row>
    <row r="22" spans="4:11" x14ac:dyDescent="0.2">
      <c r="D22" s="8">
        <v>64278</v>
      </c>
      <c r="E22" s="6">
        <v>5223</v>
      </c>
      <c r="F22" s="12"/>
      <c r="G22" s="13"/>
      <c r="H22" s="14"/>
      <c r="J22" s="8">
        <v>2011</v>
      </c>
      <c r="K22" s="6">
        <v>61380</v>
      </c>
    </row>
    <row r="23" spans="4:11" x14ac:dyDescent="0.2">
      <c r="D23" s="8" t="s">
        <v>80</v>
      </c>
      <c r="E23" s="6">
        <v>58866</v>
      </c>
      <c r="F23" s="12"/>
      <c r="G23" s="13"/>
      <c r="H23" s="14"/>
      <c r="J23" s="8" t="s">
        <v>80</v>
      </c>
      <c r="K23" s="6">
        <v>315801</v>
      </c>
    </row>
    <row r="24" spans="4:11" x14ac:dyDescent="0.2">
      <c r="F24" s="12"/>
      <c r="G24" s="13"/>
      <c r="H24" s="14"/>
    </row>
    <row r="25" spans="4:11" x14ac:dyDescent="0.2">
      <c r="F25" s="12"/>
      <c r="G25" s="13"/>
      <c r="H25" s="14"/>
    </row>
    <row r="26" spans="4:11" x14ac:dyDescent="0.2">
      <c r="F26" s="12"/>
      <c r="G26" s="13"/>
      <c r="H26" s="14"/>
    </row>
    <row r="27" spans="4:11" x14ac:dyDescent="0.2">
      <c r="F27" s="12"/>
      <c r="G27" s="13"/>
      <c r="H27" s="14"/>
    </row>
    <row r="28" spans="4:11" x14ac:dyDescent="0.2">
      <c r="F28" s="12"/>
      <c r="G28" s="13"/>
      <c r="H28" s="14"/>
    </row>
    <row r="29" spans="4:11" x14ac:dyDescent="0.2">
      <c r="F29" s="12"/>
      <c r="G29" s="13"/>
      <c r="H29" s="14"/>
    </row>
    <row r="30" spans="4:11" x14ac:dyDescent="0.2">
      <c r="F30" s="12"/>
      <c r="G30" s="13"/>
      <c r="H30" s="14"/>
    </row>
    <row r="31" spans="4:11" x14ac:dyDescent="0.2">
      <c r="F31" s="12"/>
      <c r="G31" s="13"/>
      <c r="H31" s="14"/>
    </row>
    <row r="32" spans="4:11" x14ac:dyDescent="0.2">
      <c r="F32" s="12"/>
      <c r="G32" s="13"/>
      <c r="H32" s="14"/>
    </row>
    <row r="33" spans="6:8" x14ac:dyDescent="0.2">
      <c r="F33" s="12"/>
      <c r="G33" s="13"/>
      <c r="H33" s="14"/>
    </row>
    <row r="34" spans="6:8" x14ac:dyDescent="0.2">
      <c r="F34" s="12"/>
      <c r="G34" s="13"/>
      <c r="H34" s="14"/>
    </row>
    <row r="35" spans="6:8" x14ac:dyDescent="0.2">
      <c r="F35" s="12"/>
      <c r="G35" s="13"/>
      <c r="H35" s="14"/>
    </row>
    <row r="36" spans="6:8" x14ac:dyDescent="0.2">
      <c r="F36" s="12"/>
      <c r="G36" s="13"/>
      <c r="H36" s="14"/>
    </row>
    <row r="37" spans="6:8" x14ac:dyDescent="0.2">
      <c r="F37" s="12"/>
      <c r="G37" s="13"/>
      <c r="H37" s="14"/>
    </row>
    <row r="38" spans="6:8" x14ac:dyDescent="0.2">
      <c r="F38" s="15"/>
      <c r="G38" s="16"/>
      <c r="H38" s="17"/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5454-A5A7-49D0-A0B3-3A92A8A536DA}">
  <dimension ref="A1:AA19"/>
  <sheetViews>
    <sheetView workbookViewId="0">
      <selection activeCell="B23" sqref="B23"/>
    </sheetView>
  </sheetViews>
  <sheetFormatPr defaultRowHeight="15" x14ac:dyDescent="0.2"/>
  <cols>
    <col min="2" max="2" width="21.7890625" customWidth="1"/>
    <col min="3" max="3" width="22.05859375" customWidth="1"/>
    <col min="4" max="4" width="29.32421875" customWidth="1"/>
    <col min="5" max="5" width="10.22265625" customWidth="1"/>
    <col min="6" max="6" width="22.8671875" customWidth="1"/>
    <col min="7" max="7" width="21.7890625" customWidth="1"/>
    <col min="8" max="8" width="32.95703125" customWidth="1"/>
    <col min="9" max="9" width="33.49609375" customWidth="1"/>
    <col min="10" max="10" width="24.2109375" customWidth="1"/>
    <col min="11" max="11" width="34.5703125" customWidth="1"/>
    <col min="12" max="12" width="22.8671875" customWidth="1"/>
    <col min="13" max="13" width="21.7890625" customWidth="1"/>
    <col min="14" max="14" width="32.95703125" customWidth="1"/>
    <col min="15" max="15" width="10.22265625" customWidth="1"/>
    <col min="16" max="16" width="19.7734375" customWidth="1"/>
    <col min="17" max="17" width="10.22265625" customWidth="1"/>
    <col min="18" max="18" width="22.734375" customWidth="1"/>
    <col min="19" max="20" width="10.22265625" customWidth="1"/>
    <col min="21" max="21" width="22.734375" customWidth="1"/>
    <col min="22" max="23" width="10.22265625" customWidth="1"/>
    <col min="24" max="24" width="13.5859375" customWidth="1"/>
    <col min="25" max="26" width="10.22265625" customWidth="1"/>
    <col min="27" max="27" width="11.296875" customWidth="1"/>
  </cols>
  <sheetData>
    <row r="1" spans="1:27" x14ac:dyDescent="0.2">
      <c r="A1" t="s">
        <v>0</v>
      </c>
      <c r="B1" t="s">
        <v>42</v>
      </c>
      <c r="C1" t="s">
        <v>38</v>
      </c>
      <c r="D1" t="s">
        <v>68</v>
      </c>
      <c r="E1" t="s">
        <v>69</v>
      </c>
      <c r="F1" t="s">
        <v>39</v>
      </c>
      <c r="G1" t="s">
        <v>84</v>
      </c>
      <c r="H1" t="s">
        <v>83</v>
      </c>
      <c r="I1" t="s">
        <v>40</v>
      </c>
      <c r="J1" t="s">
        <v>85</v>
      </c>
      <c r="K1" t="s">
        <v>86</v>
      </c>
      <c r="L1" t="s">
        <v>41</v>
      </c>
      <c r="M1" t="s">
        <v>87</v>
      </c>
      <c r="N1" t="s">
        <v>88</v>
      </c>
      <c r="O1" t="s">
        <v>70</v>
      </c>
      <c r="P1" t="s">
        <v>43</v>
      </c>
      <c r="Q1" t="s">
        <v>71</v>
      </c>
      <c r="R1" s="3" t="s">
        <v>44</v>
      </c>
      <c r="S1" t="s">
        <v>72</v>
      </c>
      <c r="T1" t="s">
        <v>73</v>
      </c>
      <c r="U1" s="3" t="s">
        <v>52</v>
      </c>
      <c r="V1" t="s">
        <v>74</v>
      </c>
      <c r="W1" t="s">
        <v>75</v>
      </c>
      <c r="X1" s="3" t="s">
        <v>61</v>
      </c>
      <c r="Y1" t="s">
        <v>76</v>
      </c>
      <c r="Z1" t="s">
        <v>77</v>
      </c>
      <c r="AA1" t="s">
        <v>78</v>
      </c>
    </row>
    <row r="2" spans="1:27" x14ac:dyDescent="0.2">
      <c r="A2" s="6">
        <v>2005</v>
      </c>
      <c r="B2">
        <v>57675</v>
      </c>
      <c r="C2">
        <v>57738</v>
      </c>
      <c r="D2">
        <v>63</v>
      </c>
      <c r="F2" s="5">
        <v>7.1599293359659146</v>
      </c>
      <c r="G2" s="18">
        <v>7.1599293359659144E-2</v>
      </c>
      <c r="H2" s="19">
        <v>4134</v>
      </c>
      <c r="I2" s="5">
        <v>89.213343032318406</v>
      </c>
      <c r="J2" s="18">
        <v>0.89213343032318404</v>
      </c>
      <c r="K2" s="19">
        <v>51510</v>
      </c>
      <c r="L2" s="5">
        <v>3.6267276317156809</v>
      </c>
      <c r="M2" s="18">
        <v>3.6267276317156809E-2</v>
      </c>
      <c r="N2" s="5">
        <v>2094</v>
      </c>
      <c r="P2" s="5">
        <v>92.840070664034087</v>
      </c>
      <c r="Q2" s="5"/>
      <c r="R2" t="s">
        <v>46</v>
      </c>
      <c r="S2" s="5">
        <v>3.6267276317156809</v>
      </c>
      <c r="T2" s="5"/>
      <c r="U2" t="s">
        <v>53</v>
      </c>
      <c r="V2" s="5">
        <v>7.1599293359659146</v>
      </c>
      <c r="X2" t="s">
        <v>62</v>
      </c>
      <c r="Y2" s="5">
        <v>2.2352496002123967E-2</v>
      </c>
      <c r="Z2" t="s">
        <v>63</v>
      </c>
      <c r="AA2" s="5">
        <v>0.22945792266263965</v>
      </c>
    </row>
    <row r="3" spans="1:27" x14ac:dyDescent="0.2">
      <c r="A3" s="6">
        <v>2006</v>
      </c>
      <c r="B3">
        <v>59058</v>
      </c>
      <c r="C3">
        <v>59193</v>
      </c>
      <c r="D3">
        <v>135</v>
      </c>
      <c r="F3" s="5">
        <v>7.3893872586285543</v>
      </c>
      <c r="G3" s="18">
        <v>7.3893872586285547E-2</v>
      </c>
      <c r="H3" s="19">
        <v>4374</v>
      </c>
      <c r="I3" s="5">
        <v>88.961532613653631</v>
      </c>
      <c r="J3" s="18">
        <v>0.88961532613653627</v>
      </c>
      <c r="K3" s="19">
        <v>52658.999999999993</v>
      </c>
      <c r="L3" s="5">
        <v>3.6490801277178049</v>
      </c>
      <c r="M3" s="18">
        <v>3.6490801277178048E-2</v>
      </c>
      <c r="N3" s="5">
        <v>2160</v>
      </c>
      <c r="P3" s="5">
        <v>92.61061274137144</v>
      </c>
      <c r="Q3" s="5"/>
      <c r="R3" t="s">
        <v>45</v>
      </c>
      <c r="S3" s="5">
        <v>4.0399409037648377</v>
      </c>
      <c r="T3" s="5"/>
      <c r="U3" t="s">
        <v>54</v>
      </c>
      <c r="V3" s="5">
        <v>2.9191502368943909</v>
      </c>
      <c r="Y3" s="5">
        <v>6.5727573598539646E-2</v>
      </c>
      <c r="AA3" s="5">
        <v>0.34472057853826055</v>
      </c>
    </row>
    <row r="4" spans="1:27" x14ac:dyDescent="0.2">
      <c r="A4" s="6">
        <v>2007</v>
      </c>
      <c r="B4">
        <v>63873</v>
      </c>
      <c r="C4">
        <v>64041</v>
      </c>
      <c r="D4">
        <v>168</v>
      </c>
      <c r="F4" s="5">
        <v>7.7341078371668148</v>
      </c>
      <c r="G4" s="18">
        <v>7.7341078371668148E-2</v>
      </c>
      <c r="H4" s="19">
        <v>4953</v>
      </c>
      <c r="I4" s="5">
        <v>88.551084461516837</v>
      </c>
      <c r="J4" s="18">
        <v>0.88551084461516838</v>
      </c>
      <c r="K4" s="19">
        <v>56709</v>
      </c>
      <c r="L4" s="5">
        <v>3.7148077013163445</v>
      </c>
      <c r="M4" s="18">
        <v>3.7148077013163444E-2</v>
      </c>
      <c r="N4" s="5">
        <v>2379</v>
      </c>
      <c r="P4" s="5">
        <v>92.265892162833183</v>
      </c>
      <c r="Q4" s="5"/>
      <c r="R4" t="s">
        <v>47</v>
      </c>
      <c r="S4" s="5">
        <v>0.41321327204915681</v>
      </c>
      <c r="T4" s="5"/>
      <c r="U4" t="s">
        <v>55</v>
      </c>
      <c r="V4" s="5">
        <v>4.2407790990715242</v>
      </c>
      <c r="Y4" s="5">
        <v>-1.2658216539918943E-2</v>
      </c>
      <c r="AA4" s="5">
        <v>0.38357762000668227</v>
      </c>
    </row>
    <row r="5" spans="1:27" x14ac:dyDescent="0.2">
      <c r="A5" s="6">
        <v>2008</v>
      </c>
      <c r="B5">
        <v>64278</v>
      </c>
      <c r="C5">
        <v>64341</v>
      </c>
      <c r="D5">
        <v>63</v>
      </c>
      <c r="F5" s="5">
        <v>8.1176854571734971</v>
      </c>
      <c r="G5" s="18">
        <v>8.1176854571734972E-2</v>
      </c>
      <c r="H5" s="19">
        <v>5223</v>
      </c>
      <c r="I5" s="5">
        <v>88.180165058050079</v>
      </c>
      <c r="J5" s="18">
        <v>0.88180165058050075</v>
      </c>
      <c r="K5" s="19">
        <v>56736</v>
      </c>
      <c r="L5" s="5">
        <v>3.7021494847764256</v>
      </c>
      <c r="M5" s="18">
        <v>3.7021494847764257E-2</v>
      </c>
      <c r="N5" s="5">
        <v>2382</v>
      </c>
      <c r="P5" s="5">
        <v>91.882314542826506</v>
      </c>
      <c r="Q5" s="5"/>
      <c r="R5" t="s">
        <v>48</v>
      </c>
      <c r="S5" s="5">
        <v>11.393556782031622</v>
      </c>
      <c r="T5" s="5"/>
      <c r="U5" t="s">
        <v>56</v>
      </c>
      <c r="V5" s="5">
        <v>59.229342917801567</v>
      </c>
      <c r="Y5" s="5">
        <v>0.22647333865140551</v>
      </c>
      <c r="AA5" s="5">
        <v>-0.64898492472278413</v>
      </c>
    </row>
    <row r="6" spans="1:27" x14ac:dyDescent="0.2">
      <c r="A6" s="6">
        <v>2009</v>
      </c>
      <c r="B6">
        <v>62457</v>
      </c>
      <c r="C6">
        <v>62541</v>
      </c>
      <c r="D6">
        <v>84</v>
      </c>
      <c r="F6" s="5">
        <v>7.468700532450713</v>
      </c>
      <c r="G6" s="18">
        <v>7.468700532450713E-2</v>
      </c>
      <c r="H6" s="19">
        <v>4671</v>
      </c>
      <c r="I6" s="5">
        <v>88.602676644121459</v>
      </c>
      <c r="J6" s="18">
        <v>0.88602676644121459</v>
      </c>
      <c r="K6" s="19">
        <v>55413</v>
      </c>
      <c r="L6" s="5">
        <v>3.9286228234278311</v>
      </c>
      <c r="M6" s="18">
        <v>3.9286228234278311E-2</v>
      </c>
      <c r="N6" s="5">
        <v>2457</v>
      </c>
      <c r="P6" s="5">
        <v>92.531299467549289</v>
      </c>
      <c r="Q6" s="5"/>
      <c r="R6" t="s">
        <v>49</v>
      </c>
      <c r="S6" s="4">
        <v>2.4306663061715108E-2</v>
      </c>
      <c r="T6" s="4"/>
      <c r="U6" t="s">
        <v>57</v>
      </c>
      <c r="V6" s="4">
        <v>0.24945759406303084</v>
      </c>
      <c r="Y6" s="5">
        <v>0.17504888283566755</v>
      </c>
      <c r="AA6" s="5">
        <v>-0.34596600338695094</v>
      </c>
    </row>
    <row r="7" spans="1:27" x14ac:dyDescent="0.2">
      <c r="A7" s="6">
        <v>2010</v>
      </c>
      <c r="B7">
        <v>63813</v>
      </c>
      <c r="C7">
        <v>63894</v>
      </c>
      <c r="D7">
        <v>81</v>
      </c>
      <c r="F7" s="5">
        <v>7.122734529063762</v>
      </c>
      <c r="G7" s="18">
        <v>7.1227345290637623E-2</v>
      </c>
      <c r="H7" s="19">
        <v>4551</v>
      </c>
      <c r="I7" s="5">
        <v>88.773593764672739</v>
      </c>
      <c r="J7" s="18">
        <v>0.88773593764672742</v>
      </c>
      <c r="K7" s="19">
        <v>56721</v>
      </c>
      <c r="L7" s="5">
        <v>4.1036717062634986</v>
      </c>
      <c r="M7" s="18">
        <v>4.1036717062634988E-2</v>
      </c>
      <c r="N7" s="5">
        <v>2622</v>
      </c>
      <c r="P7" s="5">
        <v>92.877265470936237</v>
      </c>
      <c r="Q7" s="5"/>
      <c r="R7" t="s">
        <v>50</v>
      </c>
      <c r="S7" s="5">
        <v>2091.7151615920188</v>
      </c>
      <c r="T7" s="5"/>
      <c r="U7" t="s">
        <v>58</v>
      </c>
      <c r="V7" s="5">
        <v>4129.4892445183414</v>
      </c>
      <c r="Y7" s="5">
        <v>3.9380863601657268E-2</v>
      </c>
      <c r="AA7" s="5">
        <v>-0.5954724614460174</v>
      </c>
    </row>
    <row r="8" spans="1:27" x14ac:dyDescent="0.2">
      <c r="A8" s="6">
        <v>2011</v>
      </c>
      <c r="B8">
        <v>61380</v>
      </c>
      <c r="C8">
        <v>61404</v>
      </c>
      <c r="D8">
        <v>24</v>
      </c>
      <c r="F8" s="5">
        <v>6.5272620676177446</v>
      </c>
      <c r="G8" s="18">
        <v>6.5272620676177451E-2</v>
      </c>
      <c r="H8" s="19">
        <v>4008</v>
      </c>
      <c r="I8" s="5">
        <v>89.329685362517097</v>
      </c>
      <c r="J8" s="18">
        <v>0.89329685362517097</v>
      </c>
      <c r="K8" s="19">
        <v>54852</v>
      </c>
      <c r="L8" s="5">
        <v>4.1430525698651559</v>
      </c>
      <c r="M8" s="18">
        <v>4.1430525698651556E-2</v>
      </c>
      <c r="N8" s="5">
        <v>2544</v>
      </c>
      <c r="P8" s="5">
        <v>93.472737932382259</v>
      </c>
      <c r="Q8" s="5"/>
      <c r="R8" t="s">
        <v>51</v>
      </c>
      <c r="S8" s="5">
        <v>2378.7576035457741</v>
      </c>
      <c r="T8" s="5"/>
      <c r="U8" t="s">
        <v>58</v>
      </c>
      <c r="V8" s="5">
        <v>1718.8248509857863</v>
      </c>
      <c r="Y8" s="5">
        <v>0.1623463415260078</v>
      </c>
      <c r="AA8" s="5">
        <v>-0.33886408791882872</v>
      </c>
    </row>
    <row r="9" spans="1:27" x14ac:dyDescent="0.2">
      <c r="A9" s="6">
        <v>2012</v>
      </c>
      <c r="B9">
        <v>61164</v>
      </c>
      <c r="C9">
        <v>61179</v>
      </c>
      <c r="D9">
        <v>15</v>
      </c>
      <c r="F9" s="5">
        <v>6.1883979796989159</v>
      </c>
      <c r="G9" s="18">
        <v>6.1883979796989161E-2</v>
      </c>
      <c r="H9" s="19">
        <v>3786</v>
      </c>
      <c r="I9" s="5">
        <v>89.506203108909915</v>
      </c>
      <c r="J9" s="18">
        <v>0.8950620310890991</v>
      </c>
      <c r="K9" s="19">
        <v>54758.999999999993</v>
      </c>
      <c r="L9" s="5">
        <v>4.3053989113911637</v>
      </c>
      <c r="M9" s="18">
        <v>4.3053989113911638E-2</v>
      </c>
      <c r="N9" s="5">
        <v>2634</v>
      </c>
      <c r="P9" s="5">
        <v>93.811602020301081</v>
      </c>
      <c r="Q9" s="5"/>
      <c r="U9" t="s">
        <v>59</v>
      </c>
      <c r="V9" s="5">
        <v>2410.6643935325551</v>
      </c>
      <c r="Y9" s="5">
        <v>9.3068521559027673E-2</v>
      </c>
      <c r="AA9" s="5">
        <v>-0.56387690690198067</v>
      </c>
    </row>
    <row r="10" spans="1:27" x14ac:dyDescent="0.2">
      <c r="A10" s="6">
        <v>2013</v>
      </c>
      <c r="B10">
        <v>58701</v>
      </c>
      <c r="C10">
        <v>58725</v>
      </c>
      <c r="D10">
        <v>24</v>
      </c>
      <c r="F10" s="5">
        <v>5.6245210727969353</v>
      </c>
      <c r="G10" s="18">
        <v>5.6245210727969355E-2</v>
      </c>
      <c r="H10" s="19">
        <v>3303.0000000000005</v>
      </c>
      <c r="I10" s="5">
        <v>89.977011494252878</v>
      </c>
      <c r="J10" s="18">
        <v>0.89977011494252879</v>
      </c>
      <c r="K10" s="19">
        <v>52839</v>
      </c>
      <c r="L10" s="5">
        <v>4.3984674329501914</v>
      </c>
      <c r="M10" s="18">
        <v>4.3984674329501913E-2</v>
      </c>
      <c r="N10" s="5">
        <v>2583</v>
      </c>
      <c r="P10" s="5">
        <v>94.375478927203062</v>
      </c>
      <c r="Q10" s="5"/>
      <c r="R10" t="s">
        <v>64</v>
      </c>
      <c r="S10" s="6">
        <v>2013</v>
      </c>
      <c r="U10" t="s">
        <v>60</v>
      </c>
      <c r="V10" s="5">
        <v>58.376817344483293</v>
      </c>
      <c r="Y10" s="5">
        <v>-0.10077351261476153</v>
      </c>
      <c r="AA10" s="5">
        <v>-0.51969926986192494</v>
      </c>
    </row>
    <row r="11" spans="1:27" x14ac:dyDescent="0.2">
      <c r="A11" s="6">
        <v>2014</v>
      </c>
      <c r="B11">
        <v>57219</v>
      </c>
      <c r="C11">
        <v>57240</v>
      </c>
      <c r="D11">
        <v>21</v>
      </c>
      <c r="F11" s="5">
        <v>5.1048218029350103</v>
      </c>
      <c r="G11" s="18">
        <v>5.1048218029350105E-2</v>
      </c>
      <c r="H11" s="19">
        <v>2922</v>
      </c>
      <c r="I11" s="5">
        <v>90.59748427672956</v>
      </c>
      <c r="J11" s="18">
        <v>0.90597484276729556</v>
      </c>
      <c r="K11" s="19">
        <v>51858</v>
      </c>
      <c r="L11" s="5">
        <v>4.2976939203354299</v>
      </c>
      <c r="M11" s="18">
        <v>4.2976939203354297E-2</v>
      </c>
      <c r="N11" s="5">
        <v>2460</v>
      </c>
      <c r="P11" s="5">
        <v>94.895178197064993</v>
      </c>
      <c r="Q11" s="5"/>
      <c r="R11" t="s">
        <v>67</v>
      </c>
      <c r="S11" s="6">
        <v>2005</v>
      </c>
      <c r="T11" s="5"/>
      <c r="U11" s="5"/>
      <c r="V11" s="5"/>
      <c r="Y11" s="5">
        <v>-0.1349180811453774</v>
      </c>
      <c r="AA11" s="5">
        <v>-0.41125518377739478</v>
      </c>
    </row>
    <row r="12" spans="1:27" x14ac:dyDescent="0.2">
      <c r="A12" s="6">
        <v>2015</v>
      </c>
      <c r="B12">
        <v>61029</v>
      </c>
      <c r="C12">
        <v>61041</v>
      </c>
      <c r="D12">
        <v>12</v>
      </c>
      <c r="F12" s="5">
        <v>4.6935666191576155</v>
      </c>
      <c r="G12" s="18">
        <v>4.6935666191576159E-2</v>
      </c>
      <c r="H12" s="19">
        <v>2865.0000000000005</v>
      </c>
      <c r="I12" s="5">
        <v>91.143657541652331</v>
      </c>
      <c r="J12" s="18">
        <v>0.91143657541652334</v>
      </c>
      <c r="K12" s="19">
        <v>55635</v>
      </c>
      <c r="L12" s="5">
        <v>4.1627758391900525</v>
      </c>
      <c r="M12" s="18">
        <v>4.1627758391900527E-2</v>
      </c>
      <c r="N12" s="5">
        <v>2541</v>
      </c>
      <c r="P12" s="5">
        <v>95.306433380842378</v>
      </c>
      <c r="Q12" s="5"/>
      <c r="T12" s="5"/>
      <c r="U12" s="5" t="s">
        <v>65</v>
      </c>
      <c r="V12" s="6">
        <v>2021</v>
      </c>
      <c r="Y12" s="5">
        <v>-0.10926751006334889</v>
      </c>
      <c r="AA12" s="5">
        <v>-0.5189073561591302</v>
      </c>
    </row>
    <row r="13" spans="1:27" x14ac:dyDescent="0.2">
      <c r="A13" s="6">
        <v>2016</v>
      </c>
      <c r="B13">
        <v>59406</v>
      </c>
      <c r="C13">
        <v>59430</v>
      </c>
      <c r="D13">
        <v>24</v>
      </c>
      <c r="F13" s="5">
        <v>4.1746592629984853</v>
      </c>
      <c r="G13" s="18">
        <v>4.1746592629984855E-2</v>
      </c>
      <c r="H13" s="19">
        <v>2481</v>
      </c>
      <c r="I13" s="5">
        <v>91.771832407874811</v>
      </c>
      <c r="J13" s="18">
        <v>0.91771832407874809</v>
      </c>
      <c r="K13" s="19">
        <v>54540</v>
      </c>
      <c r="L13" s="5">
        <v>4.0535083291267036</v>
      </c>
      <c r="M13" s="18">
        <v>4.0535083291267038E-2</v>
      </c>
      <c r="N13" s="5">
        <v>2409</v>
      </c>
      <c r="P13" s="5">
        <v>95.825340737001511</v>
      </c>
      <c r="Q13" s="5"/>
      <c r="T13" s="5"/>
      <c r="U13" s="5" t="s">
        <v>66</v>
      </c>
      <c r="V13" s="6">
        <v>2008</v>
      </c>
      <c r="Y13" s="5">
        <v>4.3119753409784245E-2</v>
      </c>
      <c r="AA13" s="5">
        <v>-0.28940511101056376</v>
      </c>
    </row>
    <row r="14" spans="1:27" x14ac:dyDescent="0.2">
      <c r="A14" s="6">
        <v>2017</v>
      </c>
      <c r="B14">
        <v>59595</v>
      </c>
      <c r="C14">
        <v>59610</v>
      </c>
      <c r="D14">
        <v>15</v>
      </c>
      <c r="F14" s="5">
        <v>3.8852541519879216</v>
      </c>
      <c r="G14" s="18">
        <v>3.8852541519879213E-2</v>
      </c>
      <c r="H14" s="19">
        <v>2316</v>
      </c>
      <c r="I14" s="5">
        <v>92.018117765475594</v>
      </c>
      <c r="J14" s="18">
        <v>0.92018117765475593</v>
      </c>
      <c r="K14" s="19">
        <v>54852</v>
      </c>
      <c r="L14" s="5">
        <v>4.0966280825364878</v>
      </c>
      <c r="M14" s="18">
        <v>4.0966280825364881E-2</v>
      </c>
      <c r="N14" s="5">
        <v>2442.0000000000005</v>
      </c>
      <c r="P14" s="5">
        <v>96.114745848012078</v>
      </c>
      <c r="Q14" s="5"/>
      <c r="T14" s="5"/>
      <c r="U14" s="5"/>
      <c r="V14" s="5"/>
      <c r="Y14" s="5">
        <v>-0.13592487674538134</v>
      </c>
      <c r="AA14" s="5">
        <v>-0.30717762665183068</v>
      </c>
    </row>
    <row r="15" spans="1:27" x14ac:dyDescent="0.2">
      <c r="A15" s="6">
        <v>2018</v>
      </c>
      <c r="B15">
        <v>57996</v>
      </c>
      <c r="C15">
        <v>58020</v>
      </c>
      <c r="D15">
        <v>24</v>
      </c>
      <c r="F15" s="5">
        <v>3.5780765253360909</v>
      </c>
      <c r="G15" s="18">
        <v>3.5780765253360908E-2</v>
      </c>
      <c r="H15" s="19">
        <v>2076</v>
      </c>
      <c r="I15" s="5">
        <v>92.461220268872808</v>
      </c>
      <c r="J15" s="18">
        <v>0.92461220268872812</v>
      </c>
      <c r="K15" s="19">
        <v>53646.000000000007</v>
      </c>
      <c r="L15" s="5">
        <v>3.9607032057911065</v>
      </c>
      <c r="M15" s="18">
        <v>3.9607032057911065E-2</v>
      </c>
      <c r="N15" s="5">
        <v>2298</v>
      </c>
      <c r="P15" s="5">
        <v>96.421923474663913</v>
      </c>
      <c r="Q15" s="5"/>
      <c r="T15" s="4"/>
      <c r="U15" s="4"/>
      <c r="V15" s="4"/>
      <c r="Y15" s="5">
        <v>9.8448748335949965E-2</v>
      </c>
      <c r="AA15" s="5">
        <v>-0.23317435743709192</v>
      </c>
    </row>
    <row r="16" spans="1:27" x14ac:dyDescent="0.2">
      <c r="A16" s="6">
        <v>2019</v>
      </c>
      <c r="B16">
        <v>59613</v>
      </c>
      <c r="C16">
        <v>59643</v>
      </c>
      <c r="D16">
        <v>30</v>
      </c>
      <c r="F16" s="5">
        <v>3.344902167898999</v>
      </c>
      <c r="G16" s="18">
        <v>3.3449021678989992E-2</v>
      </c>
      <c r="H16" s="19">
        <v>1995</v>
      </c>
      <c r="I16" s="5">
        <v>92.595945877973946</v>
      </c>
      <c r="J16" s="18">
        <v>0.92595945877973951</v>
      </c>
      <c r="K16" s="19">
        <v>55227</v>
      </c>
      <c r="L16" s="5">
        <v>4.0591519541270564</v>
      </c>
      <c r="M16" s="18">
        <v>4.0591519541270563E-2</v>
      </c>
      <c r="N16" s="5">
        <v>2421</v>
      </c>
      <c r="P16" s="5">
        <v>96.655097832101006</v>
      </c>
      <c r="Q16" s="5"/>
      <c r="T16" s="5"/>
      <c r="U16" s="5"/>
      <c r="V16" s="5"/>
      <c r="Y16" s="5">
        <v>-0.15107004073015151</v>
      </c>
      <c r="AA16" s="5">
        <v>-5.6902584761069797E-2</v>
      </c>
    </row>
    <row r="17" spans="1:27" x14ac:dyDescent="0.2">
      <c r="A17" s="6">
        <v>2020</v>
      </c>
      <c r="B17">
        <v>57546</v>
      </c>
      <c r="C17">
        <v>57573</v>
      </c>
      <c r="D17">
        <v>27</v>
      </c>
      <c r="F17" s="5">
        <v>3.2879995831379292</v>
      </c>
      <c r="G17" s="18">
        <v>3.2879995831379294E-2</v>
      </c>
      <c r="H17" s="19">
        <v>1893</v>
      </c>
      <c r="I17" s="5">
        <v>92.803918503465169</v>
      </c>
      <c r="J17" s="18">
        <v>0.92803918503465166</v>
      </c>
      <c r="K17" s="19">
        <v>53430</v>
      </c>
      <c r="L17" s="5">
        <v>3.9080819133969049</v>
      </c>
      <c r="M17" s="18">
        <v>3.9080819133969047E-2</v>
      </c>
      <c r="N17" s="5">
        <v>2250</v>
      </c>
      <c r="P17" s="5">
        <v>96.712000416862068</v>
      </c>
      <c r="Q17" s="5"/>
      <c r="T17" s="5"/>
      <c r="U17" s="5"/>
      <c r="V17" s="5"/>
      <c r="Y17" s="5">
        <v>-9.8509403681216412E-2</v>
      </c>
      <c r="AA17" s="5">
        <v>-0.56760686479061873</v>
      </c>
    </row>
    <row r="18" spans="1:27" x14ac:dyDescent="0.2">
      <c r="A18" s="6">
        <v>2021</v>
      </c>
      <c r="B18">
        <v>58647</v>
      </c>
      <c r="C18">
        <v>58668</v>
      </c>
      <c r="D18">
        <v>21</v>
      </c>
      <c r="F18" s="5">
        <v>2.7203927183473104</v>
      </c>
      <c r="G18" s="18">
        <v>2.7203927183473104E-2</v>
      </c>
      <c r="H18" s="19">
        <v>1596</v>
      </c>
      <c r="I18" s="5">
        <v>93.470034771937009</v>
      </c>
      <c r="J18" s="18">
        <v>0.93470034771937005</v>
      </c>
      <c r="K18" s="19">
        <v>54837</v>
      </c>
      <c r="L18" s="5">
        <v>3.8095725097156885</v>
      </c>
      <c r="M18" s="18">
        <v>3.8095725097156884E-2</v>
      </c>
      <c r="N18" s="5">
        <v>2235</v>
      </c>
      <c r="P18" s="5">
        <v>97.279607281652702</v>
      </c>
      <c r="Q18" s="5"/>
      <c r="T18" s="5"/>
      <c r="U18" s="5"/>
      <c r="V18" s="5"/>
      <c r="Y18" s="5">
        <v>0.23036839404914922</v>
      </c>
      <c r="AA18" s="5">
        <v>0.19875751854708046</v>
      </c>
    </row>
    <row r="19" spans="1:27" x14ac:dyDescent="0.2">
      <c r="A19" s="6">
        <v>2022</v>
      </c>
      <c r="B19">
        <v>58881</v>
      </c>
      <c r="C19">
        <v>58887</v>
      </c>
      <c r="D19">
        <v>6</v>
      </c>
      <c r="F19" s="5">
        <v>2.9191502368943909</v>
      </c>
      <c r="G19" s="18">
        <v>2.9191502368943908E-2</v>
      </c>
      <c r="H19" s="19">
        <v>1719</v>
      </c>
      <c r="I19" s="5">
        <v>93.040908859340774</v>
      </c>
      <c r="J19" s="18">
        <v>0.93040908859340776</v>
      </c>
      <c r="K19" s="19">
        <v>54789</v>
      </c>
      <c r="L19" s="5">
        <v>4.0399409037648377</v>
      </c>
      <c r="M19" s="18">
        <v>4.0399409037648375E-2</v>
      </c>
      <c r="N19" s="5">
        <v>2379</v>
      </c>
      <c r="P19" s="5">
        <v>97.080849763105618</v>
      </c>
      <c r="Q19" s="5"/>
      <c r="T19" s="5"/>
      <c r="U19" s="5"/>
      <c r="V19" s="5"/>
      <c r="Y19" s="5">
        <v>-4.0399409037648377</v>
      </c>
      <c r="AA19" s="5">
        <v>-2.9191502368943909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25"/>
  <sheetViews>
    <sheetView topLeftCell="A10" workbookViewId="0">
      <selection activeCell="C30" sqref="C30"/>
    </sheetView>
  </sheetViews>
  <sheetFormatPr defaultRowHeight="15" x14ac:dyDescent="0.2"/>
  <cols>
    <col min="2" max="2" width="19.234375" customWidth="1"/>
    <col min="3" max="3" width="12.77734375" customWidth="1"/>
    <col min="4" max="5" width="18.4296875" customWidth="1"/>
    <col min="6" max="7" width="20.984375" customWidth="1"/>
    <col min="8" max="8" width="28.65234375" customWidth="1"/>
    <col min="9" max="9" width="25.828125" customWidth="1"/>
    <col min="10" max="11" width="23.67578125" customWidth="1"/>
    <col min="12" max="14" width="19.7734375" customWidth="1"/>
    <col min="16" max="18" width="17.484375" customWidth="1"/>
    <col min="20" max="20" width="20.71484375" customWidth="1"/>
    <col min="21" max="22" width="13.85546875" customWidth="1"/>
    <col min="23" max="23" width="27.0390625" customWidth="1"/>
    <col min="24" max="24" width="13.85546875" customWidth="1"/>
    <col min="26" max="26" width="25.9609375" customWidth="1"/>
    <col min="28" max="28" width="23.80859375" customWidth="1"/>
    <col min="31" max="31" width="16.140625" customWidth="1"/>
  </cols>
  <sheetData>
    <row r="1" spans="1:31" x14ac:dyDescent="0.2">
      <c r="A1" t="str" cm="1">
        <f t="array" ref="A1:A24">TRIM('births-deaths-natural-increase'!A1:A24)</f>
        <v>Period</v>
      </c>
      <c r="B1" t="s">
        <v>42</v>
      </c>
      <c r="C1" t="s">
        <v>38</v>
      </c>
      <c r="D1" t="s">
        <v>68</v>
      </c>
      <c r="F1" t="s">
        <v>39</v>
      </c>
      <c r="G1" t="s">
        <v>84</v>
      </c>
      <c r="H1" t="s">
        <v>83</v>
      </c>
      <c r="I1" t="s">
        <v>40</v>
      </c>
      <c r="J1" t="s">
        <v>85</v>
      </c>
      <c r="K1" t="s">
        <v>86</v>
      </c>
      <c r="L1" t="s">
        <v>41</v>
      </c>
      <c r="M1" t="s">
        <v>87</v>
      </c>
      <c r="N1" t="s">
        <v>88</v>
      </c>
      <c r="P1" t="s">
        <v>43</v>
      </c>
      <c r="R1" t="s">
        <v>93</v>
      </c>
      <c r="T1" s="3" t="s">
        <v>44</v>
      </c>
      <c r="W1" s="3" t="s">
        <v>52</v>
      </c>
      <c r="Z1" s="3" t="s">
        <v>61</v>
      </c>
      <c r="AE1" s="3"/>
    </row>
    <row r="2" spans="1:31" hidden="1" x14ac:dyDescent="0.2">
      <c r="A2" t="str">
        <v>2000</v>
      </c>
      <c r="B2" t="s">
        <v>37</v>
      </c>
    </row>
    <row r="3" spans="1:31" hidden="1" x14ac:dyDescent="0.2">
      <c r="A3" t="str">
        <v>2001</v>
      </c>
      <c r="B3" t="s">
        <v>37</v>
      </c>
    </row>
    <row r="4" spans="1:31" hidden="1" x14ac:dyDescent="0.2">
      <c r="A4" t="str">
        <v>2002</v>
      </c>
      <c r="B4" t="s">
        <v>37</v>
      </c>
    </row>
    <row r="5" spans="1:31" hidden="1" x14ac:dyDescent="0.2">
      <c r="A5" t="str">
        <v>2003</v>
      </c>
      <c r="B5" t="s">
        <v>37</v>
      </c>
    </row>
    <row r="6" spans="1:31" hidden="1" x14ac:dyDescent="0.2">
      <c r="A6" t="str">
        <v>2004</v>
      </c>
      <c r="B6" t="s">
        <v>37</v>
      </c>
    </row>
    <row r="7" spans="1:31" x14ac:dyDescent="0.2">
      <c r="A7" t="str">
        <v>2005</v>
      </c>
      <c r="B7">
        <f>SUM('births-deaths-by-region'!$D$2:$D$17)</f>
        <v>57675</v>
      </c>
      <c r="C7">
        <f>SUM('births-by-mothers-age'!$C$2:$C$9)</f>
        <v>57738</v>
      </c>
      <c r="D7">
        <f t="shared" ref="D7:D24" si="0">C7-B7</f>
        <v>63</v>
      </c>
      <c r="F7" s="5">
        <f>SUM('births-by-mothers-age'!$C$2:$C$3)/$C$7 * 100</f>
        <v>7.1599293359659146</v>
      </c>
      <c r="G7" s="18">
        <f>F7/100</f>
        <v>7.1599293359659144E-2</v>
      </c>
      <c r="H7" s="19">
        <f t="shared" ref="H7:H24" si="1">G7 * C7</f>
        <v>4134</v>
      </c>
      <c r="I7" s="5">
        <f>SUM('births-by-mothers-age'!$C$4:$C$7)/$C$7 *100</f>
        <v>89.213343032318406</v>
      </c>
      <c r="J7" s="18">
        <f>I7/100</f>
        <v>0.89213343032318404</v>
      </c>
      <c r="K7" s="19">
        <f>C7*J7</f>
        <v>51510</v>
      </c>
      <c r="L7" s="5">
        <f>SUM('births-by-mothers-age'!$C$8:$C$9)/$C$7 *100</f>
        <v>3.6267276317156809</v>
      </c>
      <c r="M7" s="18">
        <f>L7/100</f>
        <v>3.6267276317156809E-2</v>
      </c>
      <c r="N7" s="5">
        <f>C7*M7</f>
        <v>2094</v>
      </c>
      <c r="P7" s="5">
        <f>I7+L7</f>
        <v>92.840070664034087</v>
      </c>
      <c r="Q7" s="5"/>
      <c r="R7" s="5"/>
      <c r="S7" s="5"/>
      <c r="T7" t="s">
        <v>46</v>
      </c>
      <c r="U7" s="5">
        <f>L7</f>
        <v>3.6267276317156809</v>
      </c>
      <c r="V7" s="5"/>
      <c r="W7" t="s">
        <v>53</v>
      </c>
      <c r="X7" s="5">
        <f>F7</f>
        <v>7.1599293359659146</v>
      </c>
      <c r="Z7" t="s">
        <v>62</v>
      </c>
      <c r="AA7" s="5">
        <f>L8-L7</f>
        <v>2.2352496002123967E-2</v>
      </c>
      <c r="AB7" t="s">
        <v>63</v>
      </c>
      <c r="AC7" s="5">
        <f>F8-F7</f>
        <v>0.22945792266263965</v>
      </c>
    </row>
    <row r="8" spans="1:31" x14ac:dyDescent="0.2">
      <c r="A8" t="str">
        <v>2006</v>
      </c>
      <c r="B8">
        <f>SUM('births-deaths-by-region'!$D$38:$D$53)</f>
        <v>59058</v>
      </c>
      <c r="C8">
        <f>SUM('births-by-mothers-age'!$C$11:$C$18)</f>
        <v>59193</v>
      </c>
      <c r="D8">
        <f t="shared" si="0"/>
        <v>135</v>
      </c>
      <c r="F8" s="5">
        <f>SUM('births-by-mothers-age'!$C$11:$C$12)/$C$8 * 100</f>
        <v>7.3893872586285543</v>
      </c>
      <c r="G8" s="18">
        <f>F8/100</f>
        <v>7.3893872586285547E-2</v>
      </c>
      <c r="H8" s="19">
        <f t="shared" si="1"/>
        <v>4374</v>
      </c>
      <c r="I8" s="5">
        <f>SUM('births-by-mothers-age'!$C$13:$C$16)/$C$8 *100</f>
        <v>88.961532613653631</v>
      </c>
      <c r="J8" s="18">
        <f t="shared" ref="J8:J24" si="2">I8/100</f>
        <v>0.88961532613653627</v>
      </c>
      <c r="K8" s="19">
        <f t="shared" ref="K8:K24" si="3">C8*J8</f>
        <v>52658.999999999993</v>
      </c>
      <c r="L8" s="5">
        <f>SUM('births-by-mothers-age'!$C$17:$C$18)/$C$8 * 100</f>
        <v>3.6490801277178049</v>
      </c>
      <c r="M8" s="18">
        <f t="shared" ref="M8:M24" si="4">L8/100</f>
        <v>3.6490801277178048E-2</v>
      </c>
      <c r="N8" s="5">
        <f t="shared" ref="N8:N24" si="5">C8*M8</f>
        <v>2160</v>
      </c>
      <c r="P8" s="5">
        <f t="shared" ref="P8:P24" si="6">I8+L8</f>
        <v>92.61061274137144</v>
      </c>
      <c r="Q8" s="5"/>
      <c r="R8" s="5"/>
      <c r="S8" s="5"/>
      <c r="T8" t="s">
        <v>45</v>
      </c>
      <c r="U8" s="5">
        <f>L24</f>
        <v>4.0399409037648377</v>
      </c>
      <c r="V8" s="5"/>
      <c r="W8" t="s">
        <v>54</v>
      </c>
      <c r="X8" s="5">
        <f>F24</f>
        <v>2.9191502368943909</v>
      </c>
      <c r="AA8" s="5">
        <f t="shared" ref="AA8:AA24" si="7">L9-L8</f>
        <v>6.5727573598539646E-2</v>
      </c>
      <c r="AC8" s="5">
        <f t="shared" ref="AC8:AC24" si="8">F9-F8</f>
        <v>0.34472057853826055</v>
      </c>
    </row>
    <row r="9" spans="1:31" x14ac:dyDescent="0.2">
      <c r="A9" t="str">
        <v>2007</v>
      </c>
      <c r="B9">
        <f>SUM('births-deaths-by-region'!$D$74:$D$89)</f>
        <v>63873</v>
      </c>
      <c r="C9">
        <f>SUM('births-by-mothers-age'!$C$20:$C$27)</f>
        <v>64041</v>
      </c>
      <c r="D9">
        <f t="shared" si="0"/>
        <v>168</v>
      </c>
      <c r="F9" s="5">
        <f>SUM('births-by-mothers-age'!$C$20:$C$21)/$C$9 * 100</f>
        <v>7.7341078371668148</v>
      </c>
      <c r="G9" s="18">
        <f t="shared" ref="G9:G24" si="9">F9/100</f>
        <v>7.7341078371668148E-2</v>
      </c>
      <c r="H9" s="19">
        <f t="shared" si="1"/>
        <v>4953</v>
      </c>
      <c r="I9" s="5">
        <f>SUM('births-by-mothers-age'!$C$22:$C$25)/$C$9 * 100</f>
        <v>88.551084461516837</v>
      </c>
      <c r="J9" s="18">
        <f t="shared" si="2"/>
        <v>0.88551084461516838</v>
      </c>
      <c r="K9" s="19">
        <f t="shared" si="3"/>
        <v>56709</v>
      </c>
      <c r="L9" s="5">
        <f>SUM('births-by-mothers-age'!$C$26:$C$27)/ $C$9 * 100</f>
        <v>3.7148077013163445</v>
      </c>
      <c r="M9" s="18">
        <f t="shared" si="4"/>
        <v>3.7148077013163444E-2</v>
      </c>
      <c r="N9" s="5">
        <f t="shared" si="5"/>
        <v>2379</v>
      </c>
      <c r="P9" s="5">
        <f t="shared" si="6"/>
        <v>92.265892162833183</v>
      </c>
      <c r="Q9" s="5"/>
      <c r="R9" s="5"/>
      <c r="S9" s="5"/>
      <c r="T9" t="s">
        <v>47</v>
      </c>
      <c r="U9" s="5">
        <f>U8-U7</f>
        <v>0.41321327204915681</v>
      </c>
      <c r="V9" s="5"/>
      <c r="W9" t="s">
        <v>55</v>
      </c>
      <c r="X9" s="5">
        <f>X7-X8</f>
        <v>4.2407790990715242</v>
      </c>
      <c r="AA9" s="5">
        <f t="shared" si="7"/>
        <v>-1.2658216539918943E-2</v>
      </c>
      <c r="AC9" s="5">
        <f t="shared" si="8"/>
        <v>0.38357762000668227</v>
      </c>
    </row>
    <row r="10" spans="1:31" x14ac:dyDescent="0.2">
      <c r="A10" t="str">
        <v>2008</v>
      </c>
      <c r="B10">
        <f>SUM('births-deaths-by-region'!$D$110:$D$125)</f>
        <v>64278</v>
      </c>
      <c r="C10">
        <f>SUM('births-by-mothers-age'!$C$29:$C$36)</f>
        <v>64341</v>
      </c>
      <c r="D10">
        <f t="shared" si="0"/>
        <v>63</v>
      </c>
      <c r="F10" s="5">
        <f>SUM('births-by-mothers-age'!$C$29:$C$30)/$C$10 * 100</f>
        <v>8.1176854571734971</v>
      </c>
      <c r="G10" s="18">
        <f t="shared" si="9"/>
        <v>8.1176854571734972E-2</v>
      </c>
      <c r="H10" s="19">
        <f t="shared" si="1"/>
        <v>5223</v>
      </c>
      <c r="I10" s="5">
        <f>SUM('births-by-mothers-age'!$C$31:$C$34)/$C$10 * 100</f>
        <v>88.180165058050079</v>
      </c>
      <c r="J10" s="18">
        <f t="shared" si="2"/>
        <v>0.88180165058050075</v>
      </c>
      <c r="K10" s="19">
        <f t="shared" si="3"/>
        <v>56736</v>
      </c>
      <c r="L10" s="5">
        <f>SUM('births-by-mothers-age'!$C$35:$C$36)/$C$10 * 100</f>
        <v>3.7021494847764256</v>
      </c>
      <c r="M10" s="18">
        <f t="shared" si="4"/>
        <v>3.7021494847764257E-2</v>
      </c>
      <c r="N10" s="5">
        <f t="shared" si="5"/>
        <v>2382</v>
      </c>
      <c r="P10" s="5">
        <f t="shared" si="6"/>
        <v>91.882314542826506</v>
      </c>
      <c r="Q10" s="5"/>
      <c r="R10" s="5"/>
      <c r="S10" s="5"/>
      <c r="T10" t="s">
        <v>48</v>
      </c>
      <c r="U10" s="5">
        <f>(U8-U7)/U7 * 100</f>
        <v>11.393556782031622</v>
      </c>
      <c r="V10" s="5"/>
      <c r="W10" t="s">
        <v>56</v>
      </c>
      <c r="X10" s="5">
        <f>(X9)/X7*100</f>
        <v>59.229342917801567</v>
      </c>
      <c r="AA10" s="5">
        <f t="shared" si="7"/>
        <v>0.22647333865140551</v>
      </c>
      <c r="AC10" s="5">
        <f t="shared" si="8"/>
        <v>-0.64898492472278413</v>
      </c>
    </row>
    <row r="11" spans="1:31" x14ac:dyDescent="0.2">
      <c r="A11" t="str">
        <v>2009</v>
      </c>
      <c r="B11">
        <f>SUM('births-deaths-by-region'!$D$146:$D$161)</f>
        <v>62457</v>
      </c>
      <c r="C11">
        <f>SUM('births-by-mothers-age'!$C$38:$C$45)</f>
        <v>62541</v>
      </c>
      <c r="D11">
        <f t="shared" si="0"/>
        <v>84</v>
      </c>
      <c r="F11" s="5">
        <f>SUM('births-by-mothers-age'!$C$38:$C$39)/$C$11 * 100</f>
        <v>7.468700532450713</v>
      </c>
      <c r="G11" s="18">
        <f t="shared" si="9"/>
        <v>7.468700532450713E-2</v>
      </c>
      <c r="H11" s="19">
        <f t="shared" si="1"/>
        <v>4671</v>
      </c>
      <c r="I11" s="5">
        <f>SUM('births-by-mothers-age'!$C$40:$C$43)/$C$11 * 100</f>
        <v>88.602676644121459</v>
      </c>
      <c r="J11" s="18">
        <f t="shared" si="2"/>
        <v>0.88602676644121459</v>
      </c>
      <c r="K11" s="19">
        <f t="shared" si="3"/>
        <v>55413</v>
      </c>
      <c r="L11" s="5">
        <f>SUM('births-by-mothers-age'!$C$44:$C$45)/$C$11 * 100</f>
        <v>3.9286228234278311</v>
      </c>
      <c r="M11" s="18">
        <f t="shared" si="4"/>
        <v>3.9286228234278311E-2</v>
      </c>
      <c r="N11" s="5">
        <f t="shared" si="5"/>
        <v>2457</v>
      </c>
      <c r="P11" s="5">
        <f t="shared" si="6"/>
        <v>92.531299467549289</v>
      </c>
      <c r="Q11" s="5"/>
      <c r="R11" s="5"/>
      <c r="S11" s="5"/>
      <c r="T11" t="s">
        <v>49</v>
      </c>
      <c r="U11" s="4">
        <f>(U9)/(A24-A7)</f>
        <v>2.4306663061715108E-2</v>
      </c>
      <c r="V11" s="4"/>
      <c r="W11" t="s">
        <v>57</v>
      </c>
      <c r="X11" s="4">
        <f>(X9)/(A24-A7)</f>
        <v>0.24945759406303084</v>
      </c>
      <c r="AA11" s="5">
        <f t="shared" si="7"/>
        <v>0.17504888283566755</v>
      </c>
      <c r="AC11" s="5">
        <f t="shared" si="8"/>
        <v>-0.34596600338695094</v>
      </c>
    </row>
    <row r="12" spans="1:31" x14ac:dyDescent="0.2">
      <c r="A12" t="str">
        <v>2010</v>
      </c>
      <c r="B12">
        <f>SUM('births-deaths-by-region'!$D$182:$D$197)</f>
        <v>63813</v>
      </c>
      <c r="C12">
        <f>SUM('births-by-mothers-age'!$C$47:$C$54)</f>
        <v>63894</v>
      </c>
      <c r="D12">
        <f t="shared" si="0"/>
        <v>81</v>
      </c>
      <c r="F12" s="5">
        <f>SUM('births-by-mothers-age'!$C$47:$C$48)/$C$12 * 100</f>
        <v>7.122734529063762</v>
      </c>
      <c r="G12" s="18">
        <f t="shared" si="9"/>
        <v>7.1227345290637623E-2</v>
      </c>
      <c r="H12" s="19">
        <f t="shared" si="1"/>
        <v>4551</v>
      </c>
      <c r="I12" s="5">
        <f>SUM('births-by-mothers-age'!$C$49:$C$52)/ $C$12 * 100</f>
        <v>88.773593764672739</v>
      </c>
      <c r="J12" s="18">
        <f t="shared" si="2"/>
        <v>0.88773593764672742</v>
      </c>
      <c r="K12" s="19">
        <f t="shared" si="3"/>
        <v>56721</v>
      </c>
      <c r="L12" s="5">
        <f>SUM('births-by-mothers-age'!$C$53:$C$54)/$C$12 *100</f>
        <v>4.1036717062634986</v>
      </c>
      <c r="M12" s="18">
        <f t="shared" si="4"/>
        <v>4.1036717062634988E-2</v>
      </c>
      <c r="N12" s="5">
        <f t="shared" si="5"/>
        <v>2622</v>
      </c>
      <c r="P12" s="5">
        <f t="shared" si="6"/>
        <v>92.877265470936237</v>
      </c>
      <c r="Q12" s="5"/>
      <c r="R12" s="5"/>
      <c r="S12" s="5"/>
      <c r="T12" t="s">
        <v>50</v>
      </c>
      <c r="U12" s="5">
        <f>B7*(L7/100)</f>
        <v>2091.7151615920188</v>
      </c>
      <c r="V12" s="5"/>
      <c r="W12" t="s">
        <v>58</v>
      </c>
      <c r="X12" s="5">
        <f>B7*(F7/100)</f>
        <v>4129.4892445183414</v>
      </c>
      <c r="AA12" s="5">
        <f t="shared" si="7"/>
        <v>3.9380863601657268E-2</v>
      </c>
      <c r="AC12" s="5">
        <f t="shared" si="8"/>
        <v>-0.5954724614460174</v>
      </c>
    </row>
    <row r="13" spans="1:31" x14ac:dyDescent="0.2">
      <c r="A13" t="str">
        <v>2011</v>
      </c>
      <c r="B13">
        <f>SUM('births-deaths-by-region'!$D$218:$D$233)</f>
        <v>61380</v>
      </c>
      <c r="C13">
        <f>SUM('births-by-mothers-age'!$C$56:$C$63)</f>
        <v>61404</v>
      </c>
      <c r="D13">
        <f t="shared" si="0"/>
        <v>24</v>
      </c>
      <c r="F13" s="5">
        <f>SUM('births-by-mothers-age'!$C$56:$C$57)/$C$13 * 100</f>
        <v>6.5272620676177446</v>
      </c>
      <c r="G13" s="18">
        <f t="shared" si="9"/>
        <v>6.5272620676177451E-2</v>
      </c>
      <c r="H13" s="19">
        <f t="shared" si="1"/>
        <v>4008</v>
      </c>
      <c r="I13" s="5">
        <f>SUM('births-by-mothers-age'!$C$58:$C$61)/$C$13 * 100</f>
        <v>89.329685362517097</v>
      </c>
      <c r="J13" s="18">
        <f t="shared" si="2"/>
        <v>0.89329685362517097</v>
      </c>
      <c r="K13" s="19">
        <f t="shared" si="3"/>
        <v>54852</v>
      </c>
      <c r="L13" s="5">
        <f>SUM('births-by-mothers-age'!$C$62:$C$63)/$C$13 * 100</f>
        <v>4.1430525698651559</v>
      </c>
      <c r="M13" s="18">
        <f t="shared" si="4"/>
        <v>4.1430525698651556E-2</v>
      </c>
      <c r="N13" s="5">
        <f t="shared" si="5"/>
        <v>2544</v>
      </c>
      <c r="P13" s="5">
        <f t="shared" si="6"/>
        <v>93.472737932382259</v>
      </c>
      <c r="Q13" s="5"/>
      <c r="R13" s="5"/>
      <c r="S13" s="5"/>
      <c r="T13" t="s">
        <v>51</v>
      </c>
      <c r="U13" s="5">
        <f>B24*(L24/100)</f>
        <v>2378.7576035457741</v>
      </c>
      <c r="V13" s="5"/>
      <c r="W13" t="s">
        <v>58</v>
      </c>
      <c r="X13" s="5">
        <f>B24*(F24/100)</f>
        <v>1718.8248509857863</v>
      </c>
      <c r="AA13" s="5">
        <f t="shared" si="7"/>
        <v>0.1623463415260078</v>
      </c>
      <c r="AC13" s="5">
        <f t="shared" si="8"/>
        <v>-0.33886408791882872</v>
      </c>
    </row>
    <row r="14" spans="1:31" x14ac:dyDescent="0.2">
      <c r="A14" t="str">
        <v>2012</v>
      </c>
      <c r="B14">
        <f>SUM('births-deaths-by-region'!$D$254:$D$269)</f>
        <v>61164</v>
      </c>
      <c r="C14">
        <f>SUM('births-by-mothers-age'!$C$65:$C$72)</f>
        <v>61179</v>
      </c>
      <c r="D14">
        <f t="shared" si="0"/>
        <v>15</v>
      </c>
      <c r="F14" s="5">
        <f>SUM('births-by-mothers-age'!$C$65:$C$66)/$C$14 * 100</f>
        <v>6.1883979796989159</v>
      </c>
      <c r="G14" s="18">
        <f t="shared" si="9"/>
        <v>6.1883979796989161E-2</v>
      </c>
      <c r="H14" s="19">
        <f t="shared" si="1"/>
        <v>3786</v>
      </c>
      <c r="I14" s="5">
        <f>SUM('births-by-mothers-age'!$C$67:$C$70)/$C$14 * 100</f>
        <v>89.506203108909915</v>
      </c>
      <c r="J14" s="18">
        <f t="shared" si="2"/>
        <v>0.8950620310890991</v>
      </c>
      <c r="K14" s="19">
        <f t="shared" si="3"/>
        <v>54758.999999999993</v>
      </c>
      <c r="L14" s="5">
        <f>SUM('births-by-mothers-age'!$C$71:$C$72)/$C$14 * 100</f>
        <v>4.3053989113911637</v>
      </c>
      <c r="M14" s="18">
        <f t="shared" si="4"/>
        <v>4.3053989113911638E-2</v>
      </c>
      <c r="N14" s="5">
        <f t="shared" si="5"/>
        <v>2634</v>
      </c>
      <c r="P14" s="5">
        <f t="shared" si="6"/>
        <v>93.811602020301081</v>
      </c>
      <c r="Q14" s="5"/>
      <c r="R14" s="5"/>
      <c r="S14" s="5"/>
      <c r="W14" t="s">
        <v>59</v>
      </c>
      <c r="X14" s="5">
        <f>X12-X13</f>
        <v>2410.6643935325551</v>
      </c>
      <c r="AA14" s="5">
        <f t="shared" si="7"/>
        <v>9.3068521559027673E-2</v>
      </c>
      <c r="AC14" s="5">
        <f t="shared" si="8"/>
        <v>-0.56387690690198067</v>
      </c>
    </row>
    <row r="15" spans="1:31" x14ac:dyDescent="0.2">
      <c r="A15" t="str">
        <v>2013</v>
      </c>
      <c r="B15">
        <f>SUM('births-deaths-by-region'!$D$290:$D$305)</f>
        <v>58701</v>
      </c>
      <c r="C15">
        <f>SUM('births-by-mothers-age'!$C$74:$C$81)</f>
        <v>58725</v>
      </c>
      <c r="D15">
        <f t="shared" si="0"/>
        <v>24</v>
      </c>
      <c r="F15" s="5">
        <f>SUM('births-by-mothers-age'!$C$74:$C$75)/$C$15 * 100</f>
        <v>5.6245210727969353</v>
      </c>
      <c r="G15" s="18">
        <f t="shared" si="9"/>
        <v>5.6245210727969355E-2</v>
      </c>
      <c r="H15" s="19">
        <f t="shared" si="1"/>
        <v>3303.0000000000005</v>
      </c>
      <c r="I15" s="5">
        <f>SUM('births-by-mothers-age'!$C$76:$C$79)/$C$15 * 100</f>
        <v>89.977011494252878</v>
      </c>
      <c r="J15" s="18">
        <f t="shared" si="2"/>
        <v>0.89977011494252879</v>
      </c>
      <c r="K15" s="19">
        <f t="shared" si="3"/>
        <v>52839</v>
      </c>
      <c r="L15" s="5">
        <f>SUM('births-by-mothers-age'!$C$80:$C$81)/$C$15 * 100</f>
        <v>4.3984674329501914</v>
      </c>
      <c r="M15" s="18">
        <f t="shared" si="4"/>
        <v>4.3984674329501913E-2</v>
      </c>
      <c r="N15" s="5">
        <f t="shared" si="5"/>
        <v>2583</v>
      </c>
      <c r="P15" s="5">
        <f t="shared" si="6"/>
        <v>94.375478927203062</v>
      </c>
      <c r="Q15" s="5"/>
      <c r="R15" s="5"/>
      <c r="S15" s="5"/>
      <c r="T15" t="s">
        <v>64</v>
      </c>
      <c r="U15" s="5" t="str">
        <f>INDEX(A7:A24,MATCH(MAX(L7:L24),L7:L24,0))</f>
        <v>2013</v>
      </c>
      <c r="W15" t="s">
        <v>60</v>
      </c>
      <c r="X15" s="5">
        <f>(X14)/X12*100</f>
        <v>58.376817344483293</v>
      </c>
      <c r="AA15" s="5">
        <f t="shared" si="7"/>
        <v>-0.10077351261476153</v>
      </c>
      <c r="AC15" s="5">
        <f t="shared" si="8"/>
        <v>-0.51969926986192494</v>
      </c>
    </row>
    <row r="16" spans="1:31" x14ac:dyDescent="0.2">
      <c r="A16" t="str">
        <v>2014</v>
      </c>
      <c r="B16">
        <f>SUM('births-deaths-by-region'!$D$326:$D$341)</f>
        <v>57219</v>
      </c>
      <c r="C16">
        <f>SUM('births-by-mothers-age'!$C$83:$C$90)</f>
        <v>57240</v>
      </c>
      <c r="D16">
        <f t="shared" si="0"/>
        <v>21</v>
      </c>
      <c r="F16" s="5">
        <f>SUM('births-by-mothers-age'!$C$83:$C$84)/ $C$16 * 100</f>
        <v>5.1048218029350103</v>
      </c>
      <c r="G16" s="18">
        <f t="shared" si="9"/>
        <v>5.1048218029350105E-2</v>
      </c>
      <c r="H16" s="19">
        <f t="shared" si="1"/>
        <v>2922</v>
      </c>
      <c r="I16" s="5">
        <f>SUM('births-by-mothers-age'!$C$85:$C$88)/$C$16 * 100</f>
        <v>90.59748427672956</v>
      </c>
      <c r="J16" s="18">
        <f t="shared" si="2"/>
        <v>0.90597484276729556</v>
      </c>
      <c r="K16" s="19">
        <f t="shared" si="3"/>
        <v>51858</v>
      </c>
      <c r="L16" s="5">
        <f>SUM('births-by-mothers-age'!$C$89:$C$90)/$C$16 * 100</f>
        <v>4.2976939203354299</v>
      </c>
      <c r="M16" s="18">
        <f t="shared" si="4"/>
        <v>4.2976939203354297E-2</v>
      </c>
      <c r="N16" s="5">
        <f t="shared" si="5"/>
        <v>2460</v>
      </c>
      <c r="P16" s="5">
        <f t="shared" si="6"/>
        <v>94.895178197064993</v>
      </c>
      <c r="Q16" s="5"/>
      <c r="R16" s="5"/>
      <c r="S16" s="5"/>
      <c r="T16" t="s">
        <v>67</v>
      </c>
      <c r="U16" t="str">
        <f>INDEX(A7:A24,MATCH(MIN(L7:L24),L7:L24,0))</f>
        <v>2005</v>
      </c>
      <c r="V16" s="5"/>
      <c r="W16" s="5"/>
      <c r="X16" s="5"/>
      <c r="AA16" s="5">
        <f t="shared" si="7"/>
        <v>-0.1349180811453774</v>
      </c>
      <c r="AC16" s="5">
        <f t="shared" si="8"/>
        <v>-0.41125518377739478</v>
      </c>
    </row>
    <row r="17" spans="1:29" x14ac:dyDescent="0.2">
      <c r="A17" t="str">
        <v>2015</v>
      </c>
      <c r="B17">
        <f>SUM('births-deaths-by-region'!$D$362:$D$377)</f>
        <v>61029</v>
      </c>
      <c r="C17">
        <f>SUM('births-by-mothers-age'!$C$92:$C$99)</f>
        <v>61041</v>
      </c>
      <c r="D17">
        <f t="shared" si="0"/>
        <v>12</v>
      </c>
      <c r="F17" s="5">
        <f>SUM('births-by-mothers-age'!$C$92:$C$93)/$C$17 * 100</f>
        <v>4.6935666191576155</v>
      </c>
      <c r="G17" s="18">
        <f t="shared" si="9"/>
        <v>4.6935666191576159E-2</v>
      </c>
      <c r="H17" s="19">
        <f t="shared" si="1"/>
        <v>2865.0000000000005</v>
      </c>
      <c r="I17" s="5">
        <f>SUM('births-by-mothers-age'!$C$94:$C$97)/ $C$17 * 100</f>
        <v>91.143657541652331</v>
      </c>
      <c r="J17" s="18">
        <f t="shared" si="2"/>
        <v>0.91143657541652334</v>
      </c>
      <c r="K17" s="19">
        <f t="shared" si="3"/>
        <v>55635</v>
      </c>
      <c r="L17" s="5">
        <f>SUM('births-by-mothers-age'!$C$98:$C$99)/$C$17 * 100</f>
        <v>4.1627758391900525</v>
      </c>
      <c r="M17" s="18">
        <f t="shared" si="4"/>
        <v>4.1627758391900527E-2</v>
      </c>
      <c r="N17" s="5">
        <f t="shared" si="5"/>
        <v>2541</v>
      </c>
      <c r="P17" s="5">
        <f t="shared" si="6"/>
        <v>95.306433380842378</v>
      </c>
      <c r="Q17" s="5"/>
      <c r="R17" s="5"/>
      <c r="S17" s="5"/>
      <c r="V17" s="5"/>
      <c r="W17" s="5" t="s">
        <v>65</v>
      </c>
      <c r="X17" t="str">
        <f>INDEX(A7:A24,MATCH(MIN(F7:F24),F7:F24,0))</f>
        <v>2021</v>
      </c>
      <c r="AA17" s="5">
        <f t="shared" si="7"/>
        <v>-0.10926751006334889</v>
      </c>
      <c r="AC17" s="5">
        <f t="shared" si="8"/>
        <v>-0.5189073561591302</v>
      </c>
    </row>
    <row r="18" spans="1:29" x14ac:dyDescent="0.2">
      <c r="A18" t="str">
        <v>2016</v>
      </c>
      <c r="B18">
        <f>SUM('births-deaths-by-region'!$D$398:$D$413)</f>
        <v>59406</v>
      </c>
      <c r="C18">
        <f>SUM('births-by-mothers-age'!$C$101:$C$108)</f>
        <v>59430</v>
      </c>
      <c r="D18">
        <f t="shared" si="0"/>
        <v>24</v>
      </c>
      <c r="F18" s="5">
        <f>SUM('births-by-mothers-age'!$C$101:$C$102)/$C$18 * 100</f>
        <v>4.1746592629984853</v>
      </c>
      <c r="G18" s="18">
        <f t="shared" si="9"/>
        <v>4.1746592629984855E-2</v>
      </c>
      <c r="H18" s="19">
        <f t="shared" si="1"/>
        <v>2481</v>
      </c>
      <c r="I18" s="5">
        <f>SUM('births-by-mothers-age'!$C$103:$C$106)/$C$18 * 100</f>
        <v>91.771832407874811</v>
      </c>
      <c r="J18" s="18">
        <f t="shared" si="2"/>
        <v>0.91771832407874809</v>
      </c>
      <c r="K18" s="19">
        <f t="shared" si="3"/>
        <v>54540</v>
      </c>
      <c r="L18" s="5">
        <f>SUM('births-by-mothers-age'!$C$107:$C$108)/$C$18 * 100</f>
        <v>4.0535083291267036</v>
      </c>
      <c r="M18" s="18">
        <f t="shared" si="4"/>
        <v>4.0535083291267038E-2</v>
      </c>
      <c r="N18" s="5">
        <f t="shared" si="5"/>
        <v>2409</v>
      </c>
      <c r="P18" s="5">
        <f t="shared" si="6"/>
        <v>95.825340737001511</v>
      </c>
      <c r="Q18" s="5"/>
      <c r="R18" s="5"/>
      <c r="S18" s="5"/>
      <c r="V18" s="5"/>
      <c r="W18" s="5" t="s">
        <v>66</v>
      </c>
      <c r="X18" s="5" t="str">
        <f>INDEX(A7:A24,MATCH(MAX(F7:F24),F7:F24,0))</f>
        <v>2008</v>
      </c>
      <c r="AA18" s="5">
        <f t="shared" si="7"/>
        <v>4.3119753409784245E-2</v>
      </c>
      <c r="AC18" s="5">
        <f t="shared" si="8"/>
        <v>-0.28940511101056376</v>
      </c>
    </row>
    <row r="19" spans="1:29" x14ac:dyDescent="0.2">
      <c r="A19" t="str">
        <v>2017</v>
      </c>
      <c r="B19">
        <f>SUM('births-deaths-by-region'!$D$434:$D$449)</f>
        <v>59595</v>
      </c>
      <c r="C19">
        <f>SUM('births-by-mothers-age'!$C$110:$C$117)</f>
        <v>59610</v>
      </c>
      <c r="D19">
        <f t="shared" si="0"/>
        <v>15</v>
      </c>
      <c r="F19" s="5">
        <f>SUM('births-by-mothers-age'!$C$110:$C$111)/$C$19 * 100</f>
        <v>3.8852541519879216</v>
      </c>
      <c r="G19" s="18">
        <f t="shared" si="9"/>
        <v>3.8852541519879213E-2</v>
      </c>
      <c r="H19" s="19">
        <f t="shared" si="1"/>
        <v>2316</v>
      </c>
      <c r="I19" s="5">
        <f>SUM('births-by-mothers-age'!$C$112:$C$115) / $C$19 * 100</f>
        <v>92.018117765475594</v>
      </c>
      <c r="J19" s="18">
        <f t="shared" si="2"/>
        <v>0.92018117765475593</v>
      </c>
      <c r="K19" s="19">
        <f t="shared" si="3"/>
        <v>54852</v>
      </c>
      <c r="L19" s="5">
        <f>SUM('births-by-mothers-age'!$C$116:$C$117)/$C$19 * 100</f>
        <v>4.0966280825364878</v>
      </c>
      <c r="M19" s="18">
        <f t="shared" si="4"/>
        <v>4.0966280825364881E-2</v>
      </c>
      <c r="N19" s="5">
        <f t="shared" si="5"/>
        <v>2442.0000000000005</v>
      </c>
      <c r="P19" s="5">
        <f t="shared" si="6"/>
        <v>96.114745848012078</v>
      </c>
      <c r="Q19" s="5"/>
      <c r="R19" s="5"/>
      <c r="S19" s="5"/>
      <c r="U19" t="str">
        <f>INDEX(A7:A24,MATCH(MIN(F7:F24),F7:F24,0))</f>
        <v>2021</v>
      </c>
      <c r="V19" s="5"/>
      <c r="W19" s="5"/>
      <c r="X19" s="5"/>
      <c r="AA19" s="5">
        <f t="shared" si="7"/>
        <v>-0.13592487674538134</v>
      </c>
      <c r="AC19" s="5">
        <f t="shared" si="8"/>
        <v>-0.30717762665183068</v>
      </c>
    </row>
    <row r="20" spans="1:29" x14ac:dyDescent="0.2">
      <c r="A20" t="str">
        <v>2018</v>
      </c>
      <c r="B20">
        <f>SUM('births-deaths-by-region'!$D$470:$D$485)</f>
        <v>57996</v>
      </c>
      <c r="C20">
        <f>SUM('births-by-mothers-age'!$C$119:$C$126)</f>
        <v>58020</v>
      </c>
      <c r="D20">
        <f t="shared" si="0"/>
        <v>24</v>
      </c>
      <c r="F20" s="5">
        <f>SUM('births-by-mothers-age'!$C$119:$C$120)/$C$20 * 100</f>
        <v>3.5780765253360909</v>
      </c>
      <c r="G20" s="18">
        <f t="shared" si="9"/>
        <v>3.5780765253360908E-2</v>
      </c>
      <c r="H20" s="19">
        <f t="shared" si="1"/>
        <v>2076</v>
      </c>
      <c r="I20" s="5">
        <f>SUM('births-by-mothers-age'!$C$121:$C$124)/$C$20 * 100</f>
        <v>92.461220268872808</v>
      </c>
      <c r="J20" s="18">
        <f t="shared" si="2"/>
        <v>0.92461220268872812</v>
      </c>
      <c r="K20" s="19">
        <f t="shared" si="3"/>
        <v>53646.000000000007</v>
      </c>
      <c r="L20" s="5">
        <f>SUM('births-by-mothers-age'!$C$125:$C$126)/$C$20 * 100</f>
        <v>3.9607032057911065</v>
      </c>
      <c r="M20" s="18">
        <f t="shared" si="4"/>
        <v>3.9607032057911065E-2</v>
      </c>
      <c r="N20" s="5">
        <f t="shared" si="5"/>
        <v>2298</v>
      </c>
      <c r="P20" s="5">
        <f t="shared" si="6"/>
        <v>96.421923474663913</v>
      </c>
      <c r="Q20" s="5"/>
      <c r="R20" s="5"/>
      <c r="S20" s="5"/>
      <c r="V20" s="4"/>
      <c r="W20" s="4"/>
      <c r="X20" s="4"/>
      <c r="AA20" s="5">
        <f t="shared" si="7"/>
        <v>9.8448748335949965E-2</v>
      </c>
      <c r="AC20" s="5">
        <f t="shared" si="8"/>
        <v>-0.23317435743709192</v>
      </c>
    </row>
    <row r="21" spans="1:29" x14ac:dyDescent="0.2">
      <c r="A21" t="str">
        <v>2019</v>
      </c>
      <c r="B21">
        <f>SUM('births-deaths-by-region'!$D$506:$D$521)</f>
        <v>59613</v>
      </c>
      <c r="C21">
        <f>SUM('births-by-mothers-age'!$C$128:$C$135)</f>
        <v>59643</v>
      </c>
      <c r="D21">
        <f t="shared" si="0"/>
        <v>30</v>
      </c>
      <c r="F21" s="5">
        <f>SUM('births-by-mothers-age'!$C$128:$C$129)/$C$21 * 100</f>
        <v>3.344902167898999</v>
      </c>
      <c r="G21" s="18">
        <f t="shared" si="9"/>
        <v>3.3449021678989992E-2</v>
      </c>
      <c r="H21" s="19">
        <f t="shared" si="1"/>
        <v>1995</v>
      </c>
      <c r="I21" s="5">
        <f>SUM('births-by-mothers-age'!$C$130:$C$133)/$C$21 *100</f>
        <v>92.595945877973946</v>
      </c>
      <c r="J21" s="18">
        <f t="shared" si="2"/>
        <v>0.92595945877973951</v>
      </c>
      <c r="K21" s="19">
        <f t="shared" si="3"/>
        <v>55227</v>
      </c>
      <c r="L21" s="5">
        <f>SUM('births-by-mothers-age'!$C$134:$C$135)/$C$21 * 100</f>
        <v>4.0591519541270564</v>
      </c>
      <c r="M21" s="18">
        <f t="shared" si="4"/>
        <v>4.0591519541270563E-2</v>
      </c>
      <c r="N21" s="5">
        <f t="shared" si="5"/>
        <v>2421</v>
      </c>
      <c r="P21" s="5">
        <f t="shared" si="6"/>
        <v>96.655097832101006</v>
      </c>
      <c r="Q21" s="5"/>
      <c r="R21" s="5"/>
      <c r="S21" s="5"/>
      <c r="V21" s="5"/>
      <c r="W21" s="5"/>
      <c r="X21" s="5"/>
      <c r="AA21" s="5">
        <f t="shared" si="7"/>
        <v>-0.15107004073015151</v>
      </c>
      <c r="AC21" s="5">
        <f t="shared" si="8"/>
        <v>-5.6902584761069797E-2</v>
      </c>
    </row>
    <row r="22" spans="1:29" x14ac:dyDescent="0.2">
      <c r="A22" t="str">
        <v>2020</v>
      </c>
      <c r="B22">
        <f>SUM('births-deaths-by-region'!$D$542:$D$557)</f>
        <v>57546</v>
      </c>
      <c r="C22">
        <f>SUM('births-by-mothers-age'!$C$137:$C$144)</f>
        <v>57573</v>
      </c>
      <c r="D22">
        <f t="shared" si="0"/>
        <v>27</v>
      </c>
      <c r="F22" s="5">
        <f>SUM('births-by-mothers-age'!$C$137:$C$138)/$C$22 * 100</f>
        <v>3.2879995831379292</v>
      </c>
      <c r="G22" s="18">
        <f t="shared" si="9"/>
        <v>3.2879995831379294E-2</v>
      </c>
      <c r="H22" s="19">
        <f t="shared" si="1"/>
        <v>1893</v>
      </c>
      <c r="I22" s="5">
        <f>SUM('births-by-mothers-age'!$C$139:$C$142)/$C$22 * 100</f>
        <v>92.803918503465169</v>
      </c>
      <c r="J22" s="18">
        <f t="shared" si="2"/>
        <v>0.92803918503465166</v>
      </c>
      <c r="K22" s="19">
        <f t="shared" si="3"/>
        <v>53430</v>
      </c>
      <c r="L22" s="5">
        <f>SUM('births-by-mothers-age'!$C$143:$C$144)/$C$22 * 100</f>
        <v>3.9080819133969049</v>
      </c>
      <c r="M22" s="18">
        <f t="shared" si="4"/>
        <v>3.9080819133969047E-2</v>
      </c>
      <c r="N22" s="5">
        <f t="shared" si="5"/>
        <v>2250</v>
      </c>
      <c r="P22" s="5">
        <f t="shared" si="6"/>
        <v>96.712000416862068</v>
      </c>
      <c r="Q22" s="5"/>
      <c r="R22" s="5"/>
      <c r="S22" s="5"/>
      <c r="V22" s="5"/>
      <c r="W22" s="5"/>
      <c r="X22" s="5"/>
      <c r="AA22" s="5">
        <f t="shared" si="7"/>
        <v>-9.8509403681216412E-2</v>
      </c>
      <c r="AC22" s="5">
        <f t="shared" si="8"/>
        <v>-0.56760686479061873</v>
      </c>
    </row>
    <row r="23" spans="1:29" x14ac:dyDescent="0.2">
      <c r="A23" t="str">
        <v>2021</v>
      </c>
      <c r="B23">
        <f>SUM('births-deaths-by-region'!$D$578:$D$593)</f>
        <v>58647</v>
      </c>
      <c r="C23">
        <f>SUM('births-by-mothers-age'!$C$146:$C$153)</f>
        <v>58668</v>
      </c>
      <c r="D23">
        <f t="shared" si="0"/>
        <v>21</v>
      </c>
      <c r="F23" s="5">
        <f>SUM('births-by-mothers-age'!$C$146:$C$147)/$C$23 * 100</f>
        <v>2.7203927183473104</v>
      </c>
      <c r="G23" s="18">
        <f t="shared" si="9"/>
        <v>2.7203927183473104E-2</v>
      </c>
      <c r="H23" s="19">
        <f t="shared" si="1"/>
        <v>1596</v>
      </c>
      <c r="I23" s="5">
        <f>SUM('births-by-mothers-age'!$C$148:$C$151)/$C$23 * 100</f>
        <v>93.470034771937009</v>
      </c>
      <c r="J23" s="18">
        <f t="shared" si="2"/>
        <v>0.93470034771937005</v>
      </c>
      <c r="K23" s="19">
        <f t="shared" si="3"/>
        <v>54837</v>
      </c>
      <c r="L23" s="5">
        <f>SUM('births-by-mothers-age'!$C$152:$C$153)/$C$23 * 100</f>
        <v>3.8095725097156885</v>
      </c>
      <c r="M23" s="18">
        <f t="shared" si="4"/>
        <v>3.8095725097156884E-2</v>
      </c>
      <c r="N23" s="5">
        <f t="shared" si="5"/>
        <v>2235</v>
      </c>
      <c r="P23" s="5">
        <f t="shared" si="6"/>
        <v>97.279607281652702</v>
      </c>
      <c r="Q23" s="5"/>
      <c r="R23" s="5"/>
      <c r="S23" s="5"/>
      <c r="V23" s="5"/>
      <c r="W23" s="5"/>
      <c r="X23" s="5"/>
      <c r="AA23" s="5">
        <f t="shared" si="7"/>
        <v>0.23036839404914922</v>
      </c>
      <c r="AC23" s="5">
        <f t="shared" si="8"/>
        <v>0.19875751854708046</v>
      </c>
    </row>
    <row r="24" spans="1:29" x14ac:dyDescent="0.2">
      <c r="A24" t="str">
        <v>2022</v>
      </c>
      <c r="B24">
        <f>SUM('births-deaths-by-region'!$D$614:$D$629)</f>
        <v>58881</v>
      </c>
      <c r="C24">
        <f>SUM('births-by-mothers-age'!$C$155:$C$162)</f>
        <v>58887</v>
      </c>
      <c r="D24">
        <f t="shared" si="0"/>
        <v>6</v>
      </c>
      <c r="F24" s="5">
        <f>SUM('births-by-mothers-age'!$C$155:$C$156)/$C$24 * 100</f>
        <v>2.9191502368943909</v>
      </c>
      <c r="G24" s="18">
        <f t="shared" si="9"/>
        <v>2.9191502368943908E-2</v>
      </c>
      <c r="H24" s="19">
        <f t="shared" si="1"/>
        <v>1719</v>
      </c>
      <c r="I24" s="5">
        <f>SUM('births-by-mothers-age'!$C$157:$C$160)/$C$24 * 100</f>
        <v>93.040908859340774</v>
      </c>
      <c r="J24" s="18">
        <f t="shared" si="2"/>
        <v>0.93040908859340776</v>
      </c>
      <c r="K24" s="19">
        <f t="shared" si="3"/>
        <v>54789</v>
      </c>
      <c r="L24" s="5">
        <f>SUM('births-by-mothers-age'!$C$161:$C$162)/$C$24 * 100</f>
        <v>4.0399409037648377</v>
      </c>
      <c r="M24" s="18">
        <f t="shared" si="4"/>
        <v>4.0399409037648375E-2</v>
      </c>
      <c r="N24" s="5">
        <f t="shared" si="5"/>
        <v>2379</v>
      </c>
      <c r="P24" s="5">
        <f t="shared" si="6"/>
        <v>97.080849763105618</v>
      </c>
      <c r="Q24" s="5"/>
      <c r="R24" s="5"/>
      <c r="S24" s="5"/>
      <c r="V24" s="5"/>
      <c r="W24" s="5"/>
      <c r="X24" s="5"/>
      <c r="AA24" s="5">
        <f t="shared" si="7"/>
        <v>-4.0399409037648377</v>
      </c>
      <c r="AC24" s="5">
        <f t="shared" si="8"/>
        <v>-2.9191502368943909</v>
      </c>
    </row>
    <row r="25" spans="1:29" x14ac:dyDescent="0.2">
      <c r="A25" s="3"/>
      <c r="P25" s="5"/>
      <c r="Q25" s="5"/>
      <c r="R25" s="5"/>
    </row>
  </sheetData>
  <autoFilter ref="A1:A24" xr:uid="{00000000-0009-0000-0000-000000000000}">
    <filterColumn colId="0">
      <filters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2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49"/>
  <sheetViews>
    <sheetView workbookViewId="0">
      <pane ySplit="1" topLeftCell="A2" activePane="bottomLeft" state="frozen"/>
      <selection pane="bottomLeft" activeCell="D6" sqref="D6"/>
    </sheetView>
  </sheetViews>
  <sheetFormatPr defaultRowHeight="15" x14ac:dyDescent="0.2"/>
  <cols>
    <col min="1" max="1" width="15.33203125" customWidth="1"/>
    <col min="2" max="2" width="13.5859375" customWidth="1"/>
    <col min="3" max="3" width="16.94921875" customWidth="1"/>
    <col min="4" max="4" width="14.52734375" customWidth="1"/>
  </cols>
  <sheetData>
    <row r="1" spans="1:4" x14ac:dyDescent="0.2">
      <c r="A1" t="s">
        <v>0</v>
      </c>
      <c r="B1" t="s">
        <v>17</v>
      </c>
      <c r="C1" t="s">
        <v>18</v>
      </c>
      <c r="D1" t="s">
        <v>2</v>
      </c>
    </row>
    <row r="2" spans="1:4" x14ac:dyDescent="0.2">
      <c r="A2">
        <v>2005</v>
      </c>
      <c r="B2" t="s">
        <v>3</v>
      </c>
      <c r="C2" t="s">
        <v>19</v>
      </c>
      <c r="D2">
        <v>2067</v>
      </c>
    </row>
    <row r="3" spans="1:4" x14ac:dyDescent="0.2">
      <c r="A3">
        <v>2005</v>
      </c>
      <c r="B3" t="s">
        <v>3</v>
      </c>
      <c r="C3" t="s">
        <v>20</v>
      </c>
      <c r="D3">
        <v>20745</v>
      </c>
    </row>
    <row r="4" spans="1:4" x14ac:dyDescent="0.2">
      <c r="A4">
        <v>2005</v>
      </c>
      <c r="B4" t="s">
        <v>3</v>
      </c>
      <c r="C4" t="s">
        <v>21</v>
      </c>
      <c r="D4">
        <v>5667</v>
      </c>
    </row>
    <row r="5" spans="1:4" x14ac:dyDescent="0.2">
      <c r="A5">
        <v>2005</v>
      </c>
      <c r="B5" t="s">
        <v>3</v>
      </c>
      <c r="C5" t="s">
        <v>22</v>
      </c>
      <c r="D5">
        <v>3771</v>
      </c>
    </row>
    <row r="6" spans="1:4" x14ac:dyDescent="0.2">
      <c r="A6">
        <v>2005</v>
      </c>
      <c r="B6" t="s">
        <v>3</v>
      </c>
      <c r="C6" t="s">
        <v>23</v>
      </c>
      <c r="D6">
        <v>777</v>
      </c>
    </row>
    <row r="7" spans="1:4" x14ac:dyDescent="0.2">
      <c r="A7">
        <v>2005</v>
      </c>
      <c r="B7" t="s">
        <v>3</v>
      </c>
      <c r="C7" t="s">
        <v>24</v>
      </c>
      <c r="D7">
        <v>2115</v>
      </c>
    </row>
    <row r="8" spans="1:4" x14ac:dyDescent="0.2">
      <c r="A8">
        <v>2005</v>
      </c>
      <c r="B8" t="s">
        <v>3</v>
      </c>
      <c r="C8" t="s">
        <v>25</v>
      </c>
      <c r="D8">
        <v>1410</v>
      </c>
    </row>
    <row r="9" spans="1:4" x14ac:dyDescent="0.2">
      <c r="A9">
        <v>2005</v>
      </c>
      <c r="B9" t="s">
        <v>3</v>
      </c>
      <c r="C9" t="s">
        <v>26</v>
      </c>
      <c r="D9">
        <v>3093</v>
      </c>
    </row>
    <row r="10" spans="1:4" x14ac:dyDescent="0.2">
      <c r="A10">
        <v>2005</v>
      </c>
      <c r="B10" t="s">
        <v>3</v>
      </c>
      <c r="C10" t="s">
        <v>27</v>
      </c>
      <c r="D10">
        <v>6225</v>
      </c>
    </row>
    <row r="11" spans="1:4" x14ac:dyDescent="0.2">
      <c r="A11">
        <v>2005</v>
      </c>
      <c r="B11" t="s">
        <v>3</v>
      </c>
      <c r="C11" t="s">
        <v>28</v>
      </c>
      <c r="D11">
        <v>513</v>
      </c>
    </row>
    <row r="12" spans="1:4" x14ac:dyDescent="0.2">
      <c r="A12">
        <v>2005</v>
      </c>
      <c r="B12" t="s">
        <v>3</v>
      </c>
      <c r="C12" t="s">
        <v>29</v>
      </c>
      <c r="D12">
        <v>519</v>
      </c>
    </row>
    <row r="13" spans="1:4" x14ac:dyDescent="0.2">
      <c r="A13">
        <v>2005</v>
      </c>
      <c r="B13" t="s">
        <v>3</v>
      </c>
      <c r="C13" t="s">
        <v>30</v>
      </c>
      <c r="D13">
        <v>471</v>
      </c>
    </row>
    <row r="14" spans="1:4" x14ac:dyDescent="0.2">
      <c r="A14">
        <v>2005</v>
      </c>
      <c r="B14" t="s">
        <v>3</v>
      </c>
      <c r="C14" t="s">
        <v>31</v>
      </c>
      <c r="D14">
        <v>336</v>
      </c>
    </row>
    <row r="15" spans="1:4" x14ac:dyDescent="0.2">
      <c r="A15">
        <v>2005</v>
      </c>
      <c r="B15" t="s">
        <v>3</v>
      </c>
      <c r="C15" t="s">
        <v>32</v>
      </c>
      <c r="D15">
        <v>6603</v>
      </c>
    </row>
    <row r="16" spans="1:4" x14ac:dyDescent="0.2">
      <c r="A16">
        <v>2005</v>
      </c>
      <c r="B16" t="s">
        <v>3</v>
      </c>
      <c r="C16" t="s">
        <v>33</v>
      </c>
      <c r="D16">
        <v>2151</v>
      </c>
    </row>
    <row r="17" spans="1:4" x14ac:dyDescent="0.2">
      <c r="A17">
        <v>2005</v>
      </c>
      <c r="B17" t="s">
        <v>3</v>
      </c>
      <c r="C17" t="s">
        <v>34</v>
      </c>
      <c r="D17">
        <v>1212</v>
      </c>
    </row>
    <row r="18" spans="1:4" hidden="1" x14ac:dyDescent="0.2">
      <c r="A18">
        <v>2005</v>
      </c>
      <c r="B18" t="s">
        <v>3</v>
      </c>
      <c r="C18" s="1" t="s">
        <v>35</v>
      </c>
      <c r="D18">
        <v>57</v>
      </c>
    </row>
    <row r="19" spans="1:4" hidden="1" x14ac:dyDescent="0.2">
      <c r="A19">
        <v>2005</v>
      </c>
      <c r="B19" t="s">
        <v>3</v>
      </c>
      <c r="C19" t="s">
        <v>36</v>
      </c>
      <c r="D19">
        <v>57747</v>
      </c>
    </row>
    <row r="20" spans="1:4" hidden="1" x14ac:dyDescent="0.2">
      <c r="A20">
        <v>2005</v>
      </c>
      <c r="B20" t="s">
        <v>4</v>
      </c>
      <c r="C20" t="s">
        <v>19</v>
      </c>
      <c r="D20">
        <v>1167</v>
      </c>
    </row>
    <row r="21" spans="1:4" hidden="1" x14ac:dyDescent="0.2">
      <c r="A21">
        <v>2005</v>
      </c>
      <c r="B21" t="s">
        <v>4</v>
      </c>
      <c r="C21" t="s">
        <v>20</v>
      </c>
      <c r="D21">
        <v>6873</v>
      </c>
    </row>
    <row r="22" spans="1:4" hidden="1" x14ac:dyDescent="0.2">
      <c r="A22">
        <v>2005</v>
      </c>
      <c r="B22" t="s">
        <v>4</v>
      </c>
      <c r="C22" t="s">
        <v>21</v>
      </c>
      <c r="D22">
        <v>2520</v>
      </c>
    </row>
    <row r="23" spans="1:4" hidden="1" x14ac:dyDescent="0.2">
      <c r="A23">
        <v>2005</v>
      </c>
      <c r="B23" t="s">
        <v>4</v>
      </c>
      <c r="C23" t="s">
        <v>22</v>
      </c>
      <c r="D23">
        <v>1956</v>
      </c>
    </row>
    <row r="24" spans="1:4" hidden="1" x14ac:dyDescent="0.2">
      <c r="A24">
        <v>2005</v>
      </c>
      <c r="B24" t="s">
        <v>4</v>
      </c>
      <c r="C24" t="s">
        <v>23</v>
      </c>
      <c r="D24">
        <v>375</v>
      </c>
    </row>
    <row r="25" spans="1:4" hidden="1" x14ac:dyDescent="0.2">
      <c r="A25">
        <v>2005</v>
      </c>
      <c r="B25" t="s">
        <v>4</v>
      </c>
      <c r="C25" t="s">
        <v>24</v>
      </c>
      <c r="D25">
        <v>1278</v>
      </c>
    </row>
    <row r="26" spans="1:4" hidden="1" x14ac:dyDescent="0.2">
      <c r="A26">
        <v>2005</v>
      </c>
      <c r="B26" t="s">
        <v>4</v>
      </c>
      <c r="C26" t="s">
        <v>25</v>
      </c>
      <c r="D26">
        <v>909</v>
      </c>
    </row>
    <row r="27" spans="1:4" hidden="1" x14ac:dyDescent="0.2">
      <c r="A27">
        <v>2005</v>
      </c>
      <c r="B27" t="s">
        <v>4</v>
      </c>
      <c r="C27" t="s">
        <v>26</v>
      </c>
      <c r="D27">
        <v>1836</v>
      </c>
    </row>
    <row r="28" spans="1:4" hidden="1" x14ac:dyDescent="0.2">
      <c r="A28">
        <v>2005</v>
      </c>
      <c r="B28" t="s">
        <v>4</v>
      </c>
      <c r="C28" t="s">
        <v>27</v>
      </c>
      <c r="D28">
        <v>2745</v>
      </c>
    </row>
    <row r="29" spans="1:4" hidden="1" x14ac:dyDescent="0.2">
      <c r="A29">
        <v>2005</v>
      </c>
      <c r="B29" t="s">
        <v>4</v>
      </c>
      <c r="C29" t="s">
        <v>28</v>
      </c>
      <c r="D29">
        <v>315</v>
      </c>
    </row>
    <row r="30" spans="1:4" hidden="1" x14ac:dyDescent="0.2">
      <c r="A30">
        <v>2005</v>
      </c>
      <c r="B30" t="s">
        <v>4</v>
      </c>
      <c r="C30" t="s">
        <v>29</v>
      </c>
      <c r="D30">
        <v>345</v>
      </c>
    </row>
    <row r="31" spans="1:4" hidden="1" x14ac:dyDescent="0.2">
      <c r="A31">
        <v>2005</v>
      </c>
      <c r="B31" t="s">
        <v>4</v>
      </c>
      <c r="C31" t="s">
        <v>30</v>
      </c>
      <c r="D31">
        <v>372</v>
      </c>
    </row>
    <row r="32" spans="1:4" hidden="1" x14ac:dyDescent="0.2">
      <c r="A32">
        <v>2005</v>
      </c>
      <c r="B32" t="s">
        <v>4</v>
      </c>
      <c r="C32" t="s">
        <v>31</v>
      </c>
      <c r="D32">
        <v>243</v>
      </c>
    </row>
    <row r="33" spans="1:4" hidden="1" x14ac:dyDescent="0.2">
      <c r="A33">
        <v>2005</v>
      </c>
      <c r="B33" t="s">
        <v>4</v>
      </c>
      <c r="C33" t="s">
        <v>32</v>
      </c>
      <c r="D33">
        <v>3816</v>
      </c>
    </row>
    <row r="34" spans="1:4" hidden="1" x14ac:dyDescent="0.2">
      <c r="A34">
        <v>2005</v>
      </c>
      <c r="B34" t="s">
        <v>4</v>
      </c>
      <c r="C34" t="s">
        <v>33</v>
      </c>
      <c r="D34">
        <v>1428</v>
      </c>
    </row>
    <row r="35" spans="1:4" hidden="1" x14ac:dyDescent="0.2">
      <c r="A35">
        <v>2005</v>
      </c>
      <c r="B35" t="s">
        <v>4</v>
      </c>
      <c r="C35" t="s">
        <v>34</v>
      </c>
      <c r="D35">
        <v>723</v>
      </c>
    </row>
    <row r="36" spans="1:4" hidden="1" x14ac:dyDescent="0.2">
      <c r="A36">
        <v>2005</v>
      </c>
      <c r="B36" t="s">
        <v>4</v>
      </c>
      <c r="C36" s="1" t="s">
        <v>35</v>
      </c>
      <c r="D36">
        <v>129</v>
      </c>
    </row>
    <row r="37" spans="1:4" hidden="1" x14ac:dyDescent="0.2">
      <c r="A37">
        <v>2005</v>
      </c>
      <c r="B37" t="s">
        <v>4</v>
      </c>
      <c r="C37" t="s">
        <v>36</v>
      </c>
      <c r="D37">
        <v>27033</v>
      </c>
    </row>
    <row r="38" spans="1:4" x14ac:dyDescent="0.2">
      <c r="A38">
        <v>2006</v>
      </c>
      <c r="B38" t="s">
        <v>3</v>
      </c>
      <c r="C38" t="s">
        <v>19</v>
      </c>
      <c r="D38">
        <v>2244</v>
      </c>
    </row>
    <row r="39" spans="1:4" x14ac:dyDescent="0.2">
      <c r="A39">
        <v>2006</v>
      </c>
      <c r="B39" t="s">
        <v>3</v>
      </c>
      <c r="C39" t="s">
        <v>20</v>
      </c>
      <c r="D39">
        <v>21333</v>
      </c>
    </row>
    <row r="40" spans="1:4" x14ac:dyDescent="0.2">
      <c r="A40">
        <v>2006</v>
      </c>
      <c r="B40" t="s">
        <v>3</v>
      </c>
      <c r="C40" t="s">
        <v>21</v>
      </c>
      <c r="D40">
        <v>5592</v>
      </c>
    </row>
    <row r="41" spans="1:4" x14ac:dyDescent="0.2">
      <c r="A41">
        <v>2006</v>
      </c>
      <c r="B41" t="s">
        <v>3</v>
      </c>
      <c r="C41" t="s">
        <v>22</v>
      </c>
      <c r="D41">
        <v>3840</v>
      </c>
    </row>
    <row r="42" spans="1:4" x14ac:dyDescent="0.2">
      <c r="A42">
        <v>2006</v>
      </c>
      <c r="B42" t="s">
        <v>3</v>
      </c>
      <c r="C42" t="s">
        <v>23</v>
      </c>
      <c r="D42">
        <v>720</v>
      </c>
    </row>
    <row r="43" spans="1:4" x14ac:dyDescent="0.2">
      <c r="A43">
        <v>2006</v>
      </c>
      <c r="B43" t="s">
        <v>3</v>
      </c>
      <c r="C43" t="s">
        <v>24</v>
      </c>
      <c r="D43">
        <v>2163</v>
      </c>
    </row>
    <row r="44" spans="1:4" x14ac:dyDescent="0.2">
      <c r="A44">
        <v>2006</v>
      </c>
      <c r="B44" t="s">
        <v>3</v>
      </c>
      <c r="C44" t="s">
        <v>25</v>
      </c>
      <c r="D44">
        <v>1455</v>
      </c>
    </row>
    <row r="45" spans="1:4" x14ac:dyDescent="0.2">
      <c r="A45">
        <v>2006</v>
      </c>
      <c r="B45" t="s">
        <v>3</v>
      </c>
      <c r="C45" t="s">
        <v>26</v>
      </c>
      <c r="D45">
        <v>3165</v>
      </c>
    </row>
    <row r="46" spans="1:4" x14ac:dyDescent="0.2">
      <c r="A46">
        <v>2006</v>
      </c>
      <c r="B46" t="s">
        <v>3</v>
      </c>
      <c r="C46" t="s">
        <v>27</v>
      </c>
      <c r="D46">
        <v>6441</v>
      </c>
    </row>
    <row r="47" spans="1:4" x14ac:dyDescent="0.2">
      <c r="A47">
        <v>2006</v>
      </c>
      <c r="B47" t="s">
        <v>3</v>
      </c>
      <c r="C47" t="s">
        <v>28</v>
      </c>
      <c r="D47">
        <v>549</v>
      </c>
    </row>
    <row r="48" spans="1:4" x14ac:dyDescent="0.2">
      <c r="A48">
        <v>2006</v>
      </c>
      <c r="B48" t="s">
        <v>3</v>
      </c>
      <c r="C48" t="s">
        <v>29</v>
      </c>
      <c r="D48">
        <v>522</v>
      </c>
    </row>
    <row r="49" spans="1:4" x14ac:dyDescent="0.2">
      <c r="A49">
        <v>2006</v>
      </c>
      <c r="B49" t="s">
        <v>3</v>
      </c>
      <c r="C49" t="s">
        <v>30</v>
      </c>
      <c r="D49">
        <v>486</v>
      </c>
    </row>
    <row r="50" spans="1:4" x14ac:dyDescent="0.2">
      <c r="A50">
        <v>2006</v>
      </c>
      <c r="B50" t="s">
        <v>3</v>
      </c>
      <c r="C50" t="s">
        <v>31</v>
      </c>
      <c r="D50">
        <v>390</v>
      </c>
    </row>
    <row r="51" spans="1:4" x14ac:dyDescent="0.2">
      <c r="A51">
        <v>2006</v>
      </c>
      <c r="B51" t="s">
        <v>3</v>
      </c>
      <c r="C51" t="s">
        <v>32</v>
      </c>
      <c r="D51">
        <v>6777</v>
      </c>
    </row>
    <row r="52" spans="1:4" x14ac:dyDescent="0.2">
      <c r="A52">
        <v>2006</v>
      </c>
      <c r="B52" t="s">
        <v>3</v>
      </c>
      <c r="C52" t="s">
        <v>33</v>
      </c>
      <c r="D52">
        <v>2148</v>
      </c>
    </row>
    <row r="53" spans="1:4" x14ac:dyDescent="0.2">
      <c r="A53">
        <v>2006</v>
      </c>
      <c r="B53" t="s">
        <v>3</v>
      </c>
      <c r="C53" t="s">
        <v>34</v>
      </c>
      <c r="D53">
        <v>1233</v>
      </c>
    </row>
    <row r="54" spans="1:4" hidden="1" x14ac:dyDescent="0.2">
      <c r="A54">
        <v>2006</v>
      </c>
      <c r="B54" t="s">
        <v>3</v>
      </c>
      <c r="C54" s="1" t="s">
        <v>35</v>
      </c>
      <c r="D54">
        <v>135</v>
      </c>
    </row>
    <row r="55" spans="1:4" hidden="1" x14ac:dyDescent="0.2">
      <c r="A55">
        <v>2006</v>
      </c>
      <c r="B55" t="s">
        <v>3</v>
      </c>
      <c r="C55" t="s">
        <v>36</v>
      </c>
      <c r="D55">
        <v>59193</v>
      </c>
    </row>
    <row r="56" spans="1:4" hidden="1" x14ac:dyDescent="0.2">
      <c r="A56">
        <v>2006</v>
      </c>
      <c r="B56" t="s">
        <v>4</v>
      </c>
      <c r="C56" t="s">
        <v>19</v>
      </c>
      <c r="D56">
        <v>1164</v>
      </c>
    </row>
    <row r="57" spans="1:4" hidden="1" x14ac:dyDescent="0.2">
      <c r="A57">
        <v>2006</v>
      </c>
      <c r="B57" t="s">
        <v>4</v>
      </c>
      <c r="C57" t="s">
        <v>20</v>
      </c>
      <c r="D57">
        <v>7152</v>
      </c>
    </row>
    <row r="58" spans="1:4" hidden="1" x14ac:dyDescent="0.2">
      <c r="A58">
        <v>2006</v>
      </c>
      <c r="B58" t="s">
        <v>4</v>
      </c>
      <c r="C58" t="s">
        <v>21</v>
      </c>
      <c r="D58">
        <v>2754</v>
      </c>
    </row>
    <row r="59" spans="1:4" hidden="1" x14ac:dyDescent="0.2">
      <c r="A59">
        <v>2006</v>
      </c>
      <c r="B59" t="s">
        <v>4</v>
      </c>
      <c r="C59" t="s">
        <v>22</v>
      </c>
      <c r="D59">
        <v>2151</v>
      </c>
    </row>
    <row r="60" spans="1:4" hidden="1" x14ac:dyDescent="0.2">
      <c r="A60">
        <v>2006</v>
      </c>
      <c r="B60" t="s">
        <v>4</v>
      </c>
      <c r="C60" t="s">
        <v>23</v>
      </c>
      <c r="D60">
        <v>438</v>
      </c>
    </row>
    <row r="61" spans="1:4" hidden="1" x14ac:dyDescent="0.2">
      <c r="A61">
        <v>2006</v>
      </c>
      <c r="B61" t="s">
        <v>4</v>
      </c>
      <c r="C61" t="s">
        <v>24</v>
      </c>
      <c r="D61">
        <v>1251</v>
      </c>
    </row>
    <row r="62" spans="1:4" hidden="1" x14ac:dyDescent="0.2">
      <c r="A62">
        <v>2006</v>
      </c>
      <c r="B62" t="s">
        <v>4</v>
      </c>
      <c r="C62" t="s">
        <v>25</v>
      </c>
      <c r="D62">
        <v>858</v>
      </c>
    </row>
    <row r="63" spans="1:4" hidden="1" x14ac:dyDescent="0.2">
      <c r="A63">
        <v>2006</v>
      </c>
      <c r="B63" t="s">
        <v>4</v>
      </c>
      <c r="C63" t="s">
        <v>26</v>
      </c>
      <c r="D63">
        <v>1965</v>
      </c>
    </row>
    <row r="64" spans="1:4" hidden="1" x14ac:dyDescent="0.2">
      <c r="A64">
        <v>2006</v>
      </c>
      <c r="B64" t="s">
        <v>4</v>
      </c>
      <c r="C64" t="s">
        <v>27</v>
      </c>
      <c r="D64">
        <v>2826</v>
      </c>
    </row>
    <row r="65" spans="1:4" hidden="1" x14ac:dyDescent="0.2">
      <c r="A65">
        <v>2006</v>
      </c>
      <c r="B65" t="s">
        <v>4</v>
      </c>
      <c r="C65" t="s">
        <v>28</v>
      </c>
      <c r="D65">
        <v>342</v>
      </c>
    </row>
    <row r="66" spans="1:4" hidden="1" x14ac:dyDescent="0.2">
      <c r="A66">
        <v>2006</v>
      </c>
      <c r="B66" t="s">
        <v>4</v>
      </c>
      <c r="C66" t="s">
        <v>29</v>
      </c>
      <c r="D66">
        <v>366</v>
      </c>
    </row>
    <row r="67" spans="1:4" hidden="1" x14ac:dyDescent="0.2">
      <c r="A67">
        <v>2006</v>
      </c>
      <c r="B67" t="s">
        <v>4</v>
      </c>
      <c r="C67" t="s">
        <v>30</v>
      </c>
      <c r="D67">
        <v>360</v>
      </c>
    </row>
    <row r="68" spans="1:4" hidden="1" x14ac:dyDescent="0.2">
      <c r="A68">
        <v>2006</v>
      </c>
      <c r="B68" t="s">
        <v>4</v>
      </c>
      <c r="C68" t="s">
        <v>31</v>
      </c>
      <c r="D68">
        <v>240</v>
      </c>
    </row>
    <row r="69" spans="1:4" hidden="1" x14ac:dyDescent="0.2">
      <c r="A69">
        <v>2006</v>
      </c>
      <c r="B69" t="s">
        <v>4</v>
      </c>
      <c r="C69" t="s">
        <v>32</v>
      </c>
      <c r="D69">
        <v>4014</v>
      </c>
    </row>
    <row r="70" spans="1:4" hidden="1" x14ac:dyDescent="0.2">
      <c r="A70">
        <v>2006</v>
      </c>
      <c r="B70" t="s">
        <v>4</v>
      </c>
      <c r="C70" t="s">
        <v>33</v>
      </c>
      <c r="D70">
        <v>1458</v>
      </c>
    </row>
    <row r="71" spans="1:4" hidden="1" x14ac:dyDescent="0.2">
      <c r="A71">
        <v>2006</v>
      </c>
      <c r="B71" t="s">
        <v>4</v>
      </c>
      <c r="C71" t="s">
        <v>34</v>
      </c>
      <c r="D71">
        <v>765</v>
      </c>
    </row>
    <row r="72" spans="1:4" hidden="1" x14ac:dyDescent="0.2">
      <c r="A72">
        <v>2006</v>
      </c>
      <c r="B72" t="s">
        <v>4</v>
      </c>
      <c r="C72" s="1" t="s">
        <v>35</v>
      </c>
      <c r="D72">
        <v>135</v>
      </c>
    </row>
    <row r="73" spans="1:4" hidden="1" x14ac:dyDescent="0.2">
      <c r="A73">
        <v>2006</v>
      </c>
      <c r="B73" t="s">
        <v>4</v>
      </c>
      <c r="C73" t="s">
        <v>36</v>
      </c>
      <c r="D73">
        <v>28245</v>
      </c>
    </row>
    <row r="74" spans="1:4" x14ac:dyDescent="0.2">
      <c r="A74">
        <v>2007</v>
      </c>
      <c r="B74" t="s">
        <v>3</v>
      </c>
      <c r="C74" t="s">
        <v>19</v>
      </c>
      <c r="D74">
        <v>2322</v>
      </c>
    </row>
    <row r="75" spans="1:4" x14ac:dyDescent="0.2">
      <c r="A75">
        <v>2007</v>
      </c>
      <c r="B75" t="s">
        <v>3</v>
      </c>
      <c r="C75" t="s">
        <v>20</v>
      </c>
      <c r="D75">
        <v>23007</v>
      </c>
    </row>
    <row r="76" spans="1:4" x14ac:dyDescent="0.2">
      <c r="A76">
        <v>2007</v>
      </c>
      <c r="B76" t="s">
        <v>3</v>
      </c>
      <c r="C76" t="s">
        <v>21</v>
      </c>
      <c r="D76">
        <v>6231</v>
      </c>
    </row>
    <row r="77" spans="1:4" x14ac:dyDescent="0.2">
      <c r="A77">
        <v>2007</v>
      </c>
      <c r="B77" t="s">
        <v>3</v>
      </c>
      <c r="C77" t="s">
        <v>22</v>
      </c>
      <c r="D77">
        <v>4053</v>
      </c>
    </row>
    <row r="78" spans="1:4" x14ac:dyDescent="0.2">
      <c r="A78">
        <v>2007</v>
      </c>
      <c r="B78" t="s">
        <v>3</v>
      </c>
      <c r="C78" t="s">
        <v>23</v>
      </c>
      <c r="D78">
        <v>801</v>
      </c>
    </row>
    <row r="79" spans="1:4" x14ac:dyDescent="0.2">
      <c r="A79">
        <v>2007</v>
      </c>
      <c r="B79" t="s">
        <v>3</v>
      </c>
      <c r="C79" t="s">
        <v>24</v>
      </c>
      <c r="D79">
        <v>2319</v>
      </c>
    </row>
    <row r="80" spans="1:4" x14ac:dyDescent="0.2">
      <c r="A80">
        <v>2007</v>
      </c>
      <c r="B80" t="s">
        <v>3</v>
      </c>
      <c r="C80" t="s">
        <v>25</v>
      </c>
      <c r="D80">
        <v>1611</v>
      </c>
    </row>
    <row r="81" spans="1:4" x14ac:dyDescent="0.2">
      <c r="A81">
        <v>2007</v>
      </c>
      <c r="B81" t="s">
        <v>3</v>
      </c>
      <c r="C81" t="s">
        <v>26</v>
      </c>
      <c r="D81">
        <v>3297</v>
      </c>
    </row>
    <row r="82" spans="1:4" x14ac:dyDescent="0.2">
      <c r="A82">
        <v>2007</v>
      </c>
      <c r="B82" t="s">
        <v>3</v>
      </c>
      <c r="C82" t="s">
        <v>27</v>
      </c>
      <c r="D82">
        <v>6876</v>
      </c>
    </row>
    <row r="83" spans="1:4" x14ac:dyDescent="0.2">
      <c r="A83">
        <v>2007</v>
      </c>
      <c r="B83" t="s">
        <v>3</v>
      </c>
      <c r="C83" t="s">
        <v>28</v>
      </c>
      <c r="D83">
        <v>552</v>
      </c>
    </row>
    <row r="84" spans="1:4" x14ac:dyDescent="0.2">
      <c r="A84">
        <v>2007</v>
      </c>
      <c r="B84" t="s">
        <v>3</v>
      </c>
      <c r="C84" t="s">
        <v>29</v>
      </c>
      <c r="D84">
        <v>639</v>
      </c>
    </row>
    <row r="85" spans="1:4" x14ac:dyDescent="0.2">
      <c r="A85">
        <v>2007</v>
      </c>
      <c r="B85" t="s">
        <v>3</v>
      </c>
      <c r="C85" t="s">
        <v>30</v>
      </c>
      <c r="D85">
        <v>513</v>
      </c>
    </row>
    <row r="86" spans="1:4" x14ac:dyDescent="0.2">
      <c r="A86">
        <v>2007</v>
      </c>
      <c r="B86" t="s">
        <v>3</v>
      </c>
      <c r="C86" t="s">
        <v>31</v>
      </c>
      <c r="D86">
        <v>405</v>
      </c>
    </row>
    <row r="87" spans="1:4" x14ac:dyDescent="0.2">
      <c r="A87">
        <v>2007</v>
      </c>
      <c r="B87" t="s">
        <v>3</v>
      </c>
      <c r="C87" t="s">
        <v>32</v>
      </c>
      <c r="D87">
        <v>7548</v>
      </c>
    </row>
    <row r="88" spans="1:4" x14ac:dyDescent="0.2">
      <c r="A88">
        <v>2007</v>
      </c>
      <c r="B88" t="s">
        <v>3</v>
      </c>
      <c r="C88" t="s">
        <v>33</v>
      </c>
      <c r="D88">
        <v>2349</v>
      </c>
    </row>
    <row r="89" spans="1:4" x14ac:dyDescent="0.2">
      <c r="A89">
        <v>2007</v>
      </c>
      <c r="B89" t="s">
        <v>3</v>
      </c>
      <c r="C89" t="s">
        <v>34</v>
      </c>
      <c r="D89">
        <v>1350</v>
      </c>
    </row>
    <row r="90" spans="1:4" hidden="1" x14ac:dyDescent="0.2">
      <c r="A90">
        <v>2007</v>
      </c>
      <c r="B90" t="s">
        <v>3</v>
      </c>
      <c r="C90" s="1" t="s">
        <v>35</v>
      </c>
      <c r="D90">
        <v>174</v>
      </c>
    </row>
    <row r="91" spans="1:4" hidden="1" x14ac:dyDescent="0.2">
      <c r="A91">
        <v>2007</v>
      </c>
      <c r="B91" t="s">
        <v>3</v>
      </c>
      <c r="C91" t="s">
        <v>36</v>
      </c>
      <c r="D91">
        <v>64044</v>
      </c>
    </row>
    <row r="92" spans="1:4" hidden="1" x14ac:dyDescent="0.2">
      <c r="A92">
        <v>2007</v>
      </c>
      <c r="B92" t="s">
        <v>4</v>
      </c>
      <c r="C92" t="s">
        <v>19</v>
      </c>
      <c r="D92">
        <v>1224</v>
      </c>
    </row>
    <row r="93" spans="1:4" hidden="1" x14ac:dyDescent="0.2">
      <c r="A93">
        <v>2007</v>
      </c>
      <c r="B93" t="s">
        <v>4</v>
      </c>
      <c r="C93" t="s">
        <v>20</v>
      </c>
      <c r="D93">
        <v>7218</v>
      </c>
    </row>
    <row r="94" spans="1:4" hidden="1" x14ac:dyDescent="0.2">
      <c r="A94">
        <v>2007</v>
      </c>
      <c r="B94" t="s">
        <v>4</v>
      </c>
      <c r="C94" t="s">
        <v>21</v>
      </c>
      <c r="D94">
        <v>2787</v>
      </c>
    </row>
    <row r="95" spans="1:4" hidden="1" x14ac:dyDescent="0.2">
      <c r="A95">
        <v>2007</v>
      </c>
      <c r="B95" t="s">
        <v>4</v>
      </c>
      <c r="C95" t="s">
        <v>22</v>
      </c>
      <c r="D95">
        <v>2139</v>
      </c>
    </row>
    <row r="96" spans="1:4" hidden="1" x14ac:dyDescent="0.2">
      <c r="A96">
        <v>2007</v>
      </c>
      <c r="B96" t="s">
        <v>4</v>
      </c>
      <c r="C96" t="s">
        <v>23</v>
      </c>
      <c r="D96">
        <v>378</v>
      </c>
    </row>
    <row r="97" spans="1:4" hidden="1" x14ac:dyDescent="0.2">
      <c r="A97">
        <v>2007</v>
      </c>
      <c r="B97" t="s">
        <v>4</v>
      </c>
      <c r="C97" t="s">
        <v>24</v>
      </c>
      <c r="D97">
        <v>1281</v>
      </c>
    </row>
    <row r="98" spans="1:4" hidden="1" x14ac:dyDescent="0.2">
      <c r="A98">
        <v>2007</v>
      </c>
      <c r="B98" t="s">
        <v>4</v>
      </c>
      <c r="C98" t="s">
        <v>25</v>
      </c>
      <c r="D98">
        <v>939</v>
      </c>
    </row>
    <row r="99" spans="1:4" hidden="1" x14ac:dyDescent="0.2">
      <c r="A99">
        <v>2007</v>
      </c>
      <c r="B99" t="s">
        <v>4</v>
      </c>
      <c r="C99" t="s">
        <v>26</v>
      </c>
      <c r="D99">
        <v>1812</v>
      </c>
    </row>
    <row r="100" spans="1:4" hidden="1" x14ac:dyDescent="0.2">
      <c r="A100">
        <v>2007</v>
      </c>
      <c r="B100" t="s">
        <v>4</v>
      </c>
      <c r="C100" t="s">
        <v>27</v>
      </c>
      <c r="D100">
        <v>2865</v>
      </c>
    </row>
    <row r="101" spans="1:4" hidden="1" x14ac:dyDescent="0.2">
      <c r="A101">
        <v>2007</v>
      </c>
      <c r="B101" t="s">
        <v>4</v>
      </c>
      <c r="C101" t="s">
        <v>28</v>
      </c>
      <c r="D101">
        <v>324</v>
      </c>
    </row>
    <row r="102" spans="1:4" hidden="1" x14ac:dyDescent="0.2">
      <c r="A102">
        <v>2007</v>
      </c>
      <c r="B102" t="s">
        <v>4</v>
      </c>
      <c r="C102" t="s">
        <v>29</v>
      </c>
      <c r="D102">
        <v>381</v>
      </c>
    </row>
    <row r="103" spans="1:4" hidden="1" x14ac:dyDescent="0.2">
      <c r="A103">
        <v>2007</v>
      </c>
      <c r="B103" t="s">
        <v>4</v>
      </c>
      <c r="C103" t="s">
        <v>30</v>
      </c>
      <c r="D103">
        <v>366</v>
      </c>
    </row>
    <row r="104" spans="1:4" hidden="1" x14ac:dyDescent="0.2">
      <c r="A104">
        <v>2007</v>
      </c>
      <c r="B104" t="s">
        <v>4</v>
      </c>
      <c r="C104" t="s">
        <v>31</v>
      </c>
      <c r="D104">
        <v>255</v>
      </c>
    </row>
    <row r="105" spans="1:4" hidden="1" x14ac:dyDescent="0.2">
      <c r="A105">
        <v>2007</v>
      </c>
      <c r="B105" t="s">
        <v>4</v>
      </c>
      <c r="C105" t="s">
        <v>32</v>
      </c>
      <c r="D105">
        <v>4107</v>
      </c>
    </row>
    <row r="106" spans="1:4" hidden="1" x14ac:dyDescent="0.2">
      <c r="A106">
        <v>2007</v>
      </c>
      <c r="B106" t="s">
        <v>4</v>
      </c>
      <c r="C106" t="s">
        <v>33</v>
      </c>
      <c r="D106">
        <v>1530</v>
      </c>
    </row>
    <row r="107" spans="1:4" hidden="1" x14ac:dyDescent="0.2">
      <c r="A107">
        <v>2007</v>
      </c>
      <c r="B107" t="s">
        <v>4</v>
      </c>
      <c r="C107" t="s">
        <v>34</v>
      </c>
      <c r="D107">
        <v>783</v>
      </c>
    </row>
    <row r="108" spans="1:4" hidden="1" x14ac:dyDescent="0.2">
      <c r="A108">
        <v>2007</v>
      </c>
      <c r="B108" t="s">
        <v>4</v>
      </c>
      <c r="C108" s="1" t="s">
        <v>35</v>
      </c>
      <c r="D108">
        <v>132</v>
      </c>
    </row>
    <row r="109" spans="1:4" hidden="1" x14ac:dyDescent="0.2">
      <c r="A109">
        <v>2007</v>
      </c>
      <c r="B109" t="s">
        <v>4</v>
      </c>
      <c r="C109" t="s">
        <v>36</v>
      </c>
      <c r="D109">
        <v>28521</v>
      </c>
    </row>
    <row r="110" spans="1:4" x14ac:dyDescent="0.2">
      <c r="A110">
        <v>2008</v>
      </c>
      <c r="B110" t="s">
        <v>3</v>
      </c>
      <c r="C110" t="s">
        <v>19</v>
      </c>
      <c r="D110">
        <v>2304</v>
      </c>
    </row>
    <row r="111" spans="1:4" x14ac:dyDescent="0.2">
      <c r="A111">
        <v>2008</v>
      </c>
      <c r="B111" t="s">
        <v>3</v>
      </c>
      <c r="C111" t="s">
        <v>20</v>
      </c>
      <c r="D111">
        <v>23112</v>
      </c>
    </row>
    <row r="112" spans="1:4" x14ac:dyDescent="0.2">
      <c r="A112">
        <v>2008</v>
      </c>
      <c r="B112" t="s">
        <v>3</v>
      </c>
      <c r="C112" t="s">
        <v>21</v>
      </c>
      <c r="D112">
        <v>6423</v>
      </c>
    </row>
    <row r="113" spans="1:4" x14ac:dyDescent="0.2">
      <c r="A113">
        <v>2008</v>
      </c>
      <c r="B113" t="s">
        <v>3</v>
      </c>
      <c r="C113" t="s">
        <v>22</v>
      </c>
      <c r="D113">
        <v>4116</v>
      </c>
    </row>
    <row r="114" spans="1:4" x14ac:dyDescent="0.2">
      <c r="A114">
        <v>2008</v>
      </c>
      <c r="B114" t="s">
        <v>3</v>
      </c>
      <c r="C114" t="s">
        <v>23</v>
      </c>
      <c r="D114">
        <v>828</v>
      </c>
    </row>
    <row r="115" spans="1:4" x14ac:dyDescent="0.2">
      <c r="A115">
        <v>2008</v>
      </c>
      <c r="B115" t="s">
        <v>3</v>
      </c>
      <c r="C115" t="s">
        <v>24</v>
      </c>
      <c r="D115">
        <v>2358</v>
      </c>
    </row>
    <row r="116" spans="1:4" x14ac:dyDescent="0.2">
      <c r="A116">
        <v>2008</v>
      </c>
      <c r="B116" t="s">
        <v>3</v>
      </c>
      <c r="C116" t="s">
        <v>25</v>
      </c>
      <c r="D116">
        <v>1596</v>
      </c>
    </row>
    <row r="117" spans="1:4" x14ac:dyDescent="0.2">
      <c r="A117">
        <v>2008</v>
      </c>
      <c r="B117" t="s">
        <v>3</v>
      </c>
      <c r="C117" t="s">
        <v>26</v>
      </c>
      <c r="D117">
        <v>3372</v>
      </c>
    </row>
    <row r="118" spans="1:4" x14ac:dyDescent="0.2">
      <c r="A118">
        <v>2008</v>
      </c>
      <c r="B118" t="s">
        <v>3</v>
      </c>
      <c r="C118" t="s">
        <v>27</v>
      </c>
      <c r="D118">
        <v>6972</v>
      </c>
    </row>
    <row r="119" spans="1:4" x14ac:dyDescent="0.2">
      <c r="A119">
        <v>2008</v>
      </c>
      <c r="B119" t="s">
        <v>3</v>
      </c>
      <c r="C119" t="s">
        <v>28</v>
      </c>
      <c r="D119">
        <v>558</v>
      </c>
    </row>
    <row r="120" spans="1:4" x14ac:dyDescent="0.2">
      <c r="A120">
        <v>2008</v>
      </c>
      <c r="B120" t="s">
        <v>3</v>
      </c>
      <c r="C120" t="s">
        <v>29</v>
      </c>
      <c r="D120">
        <v>627</v>
      </c>
    </row>
    <row r="121" spans="1:4" x14ac:dyDescent="0.2">
      <c r="A121">
        <v>2008</v>
      </c>
      <c r="B121" t="s">
        <v>3</v>
      </c>
      <c r="C121" t="s">
        <v>30</v>
      </c>
      <c r="D121">
        <v>570</v>
      </c>
    </row>
    <row r="122" spans="1:4" x14ac:dyDescent="0.2">
      <c r="A122">
        <v>2008</v>
      </c>
      <c r="B122" t="s">
        <v>3</v>
      </c>
      <c r="C122" t="s">
        <v>31</v>
      </c>
      <c r="D122">
        <v>453</v>
      </c>
    </row>
    <row r="123" spans="1:4" x14ac:dyDescent="0.2">
      <c r="A123">
        <v>2008</v>
      </c>
      <c r="B123" t="s">
        <v>3</v>
      </c>
      <c r="C123" t="s">
        <v>32</v>
      </c>
      <c r="D123">
        <v>7284</v>
      </c>
    </row>
    <row r="124" spans="1:4" x14ac:dyDescent="0.2">
      <c r="A124">
        <v>2008</v>
      </c>
      <c r="B124" t="s">
        <v>3</v>
      </c>
      <c r="C124" t="s">
        <v>33</v>
      </c>
      <c r="D124">
        <v>2367</v>
      </c>
    </row>
    <row r="125" spans="1:4" x14ac:dyDescent="0.2">
      <c r="A125">
        <v>2008</v>
      </c>
      <c r="B125" t="s">
        <v>3</v>
      </c>
      <c r="C125" t="s">
        <v>34</v>
      </c>
      <c r="D125">
        <v>1338</v>
      </c>
    </row>
    <row r="126" spans="1:4" hidden="1" x14ac:dyDescent="0.2">
      <c r="A126">
        <v>2008</v>
      </c>
      <c r="B126" t="s">
        <v>3</v>
      </c>
      <c r="C126" s="1" t="s">
        <v>35</v>
      </c>
      <c r="D126">
        <v>63</v>
      </c>
    </row>
    <row r="127" spans="1:4" hidden="1" x14ac:dyDescent="0.2">
      <c r="A127">
        <v>2008</v>
      </c>
      <c r="B127" t="s">
        <v>3</v>
      </c>
      <c r="C127" t="s">
        <v>36</v>
      </c>
      <c r="D127">
        <v>64344</v>
      </c>
    </row>
    <row r="128" spans="1:4" hidden="1" x14ac:dyDescent="0.2">
      <c r="A128">
        <v>2008</v>
      </c>
      <c r="B128" t="s">
        <v>4</v>
      </c>
      <c r="C128" t="s">
        <v>19</v>
      </c>
      <c r="D128">
        <v>1344</v>
      </c>
    </row>
    <row r="129" spans="1:4" hidden="1" x14ac:dyDescent="0.2">
      <c r="A129">
        <v>2008</v>
      </c>
      <c r="B129" t="s">
        <v>4</v>
      </c>
      <c r="C129" t="s">
        <v>20</v>
      </c>
      <c r="D129">
        <v>7404</v>
      </c>
    </row>
    <row r="130" spans="1:4" hidden="1" x14ac:dyDescent="0.2">
      <c r="A130">
        <v>2008</v>
      </c>
      <c r="B130" t="s">
        <v>4</v>
      </c>
      <c r="C130" t="s">
        <v>21</v>
      </c>
      <c r="D130">
        <v>2871</v>
      </c>
    </row>
    <row r="131" spans="1:4" hidden="1" x14ac:dyDescent="0.2">
      <c r="A131">
        <v>2008</v>
      </c>
      <c r="B131" t="s">
        <v>4</v>
      </c>
      <c r="C131" t="s">
        <v>22</v>
      </c>
      <c r="D131">
        <v>2241</v>
      </c>
    </row>
    <row r="132" spans="1:4" hidden="1" x14ac:dyDescent="0.2">
      <c r="A132">
        <v>2008</v>
      </c>
      <c r="B132" t="s">
        <v>4</v>
      </c>
      <c r="C132" t="s">
        <v>23</v>
      </c>
      <c r="D132">
        <v>387</v>
      </c>
    </row>
    <row r="133" spans="1:4" hidden="1" x14ac:dyDescent="0.2">
      <c r="A133">
        <v>2008</v>
      </c>
      <c r="B133" t="s">
        <v>4</v>
      </c>
      <c r="C133" t="s">
        <v>24</v>
      </c>
      <c r="D133">
        <v>1200</v>
      </c>
    </row>
    <row r="134" spans="1:4" hidden="1" x14ac:dyDescent="0.2">
      <c r="A134">
        <v>2008</v>
      </c>
      <c r="B134" t="s">
        <v>4</v>
      </c>
      <c r="C134" t="s">
        <v>25</v>
      </c>
      <c r="D134">
        <v>912</v>
      </c>
    </row>
    <row r="135" spans="1:4" hidden="1" x14ac:dyDescent="0.2">
      <c r="A135">
        <v>2008</v>
      </c>
      <c r="B135" t="s">
        <v>4</v>
      </c>
      <c r="C135" t="s">
        <v>26</v>
      </c>
      <c r="D135">
        <v>1920</v>
      </c>
    </row>
    <row r="136" spans="1:4" hidden="1" x14ac:dyDescent="0.2">
      <c r="A136">
        <v>2008</v>
      </c>
      <c r="B136" t="s">
        <v>4</v>
      </c>
      <c r="C136" t="s">
        <v>27</v>
      </c>
      <c r="D136">
        <v>3015</v>
      </c>
    </row>
    <row r="137" spans="1:4" hidden="1" x14ac:dyDescent="0.2">
      <c r="A137">
        <v>2008</v>
      </c>
      <c r="B137" t="s">
        <v>4</v>
      </c>
      <c r="C137" t="s">
        <v>28</v>
      </c>
      <c r="D137">
        <v>297</v>
      </c>
    </row>
    <row r="138" spans="1:4" hidden="1" x14ac:dyDescent="0.2">
      <c r="A138">
        <v>2008</v>
      </c>
      <c r="B138" t="s">
        <v>4</v>
      </c>
      <c r="C138" t="s">
        <v>29</v>
      </c>
      <c r="D138">
        <v>411</v>
      </c>
    </row>
    <row r="139" spans="1:4" hidden="1" x14ac:dyDescent="0.2">
      <c r="A139">
        <v>2008</v>
      </c>
      <c r="B139" t="s">
        <v>4</v>
      </c>
      <c r="C139" t="s">
        <v>30</v>
      </c>
      <c r="D139">
        <v>381</v>
      </c>
    </row>
    <row r="140" spans="1:4" hidden="1" x14ac:dyDescent="0.2">
      <c r="A140">
        <v>2008</v>
      </c>
      <c r="B140" t="s">
        <v>4</v>
      </c>
      <c r="C140" t="s">
        <v>31</v>
      </c>
      <c r="D140">
        <v>273</v>
      </c>
    </row>
    <row r="141" spans="1:4" hidden="1" x14ac:dyDescent="0.2">
      <c r="A141">
        <v>2008</v>
      </c>
      <c r="B141" t="s">
        <v>4</v>
      </c>
      <c r="C141" t="s">
        <v>32</v>
      </c>
      <c r="D141">
        <v>4017</v>
      </c>
    </row>
    <row r="142" spans="1:4" hidden="1" x14ac:dyDescent="0.2">
      <c r="A142">
        <v>2008</v>
      </c>
      <c r="B142" t="s">
        <v>4</v>
      </c>
      <c r="C142" t="s">
        <v>33</v>
      </c>
      <c r="D142">
        <v>1617</v>
      </c>
    </row>
    <row r="143" spans="1:4" hidden="1" x14ac:dyDescent="0.2">
      <c r="A143">
        <v>2008</v>
      </c>
      <c r="B143" t="s">
        <v>4</v>
      </c>
      <c r="C143" t="s">
        <v>34</v>
      </c>
      <c r="D143">
        <v>786</v>
      </c>
    </row>
    <row r="144" spans="1:4" hidden="1" x14ac:dyDescent="0.2">
      <c r="A144">
        <v>2008</v>
      </c>
      <c r="B144" t="s">
        <v>4</v>
      </c>
      <c r="C144" s="1" t="s">
        <v>35</v>
      </c>
      <c r="D144">
        <v>108</v>
      </c>
    </row>
    <row r="145" spans="1:4" hidden="1" x14ac:dyDescent="0.2">
      <c r="A145">
        <v>2008</v>
      </c>
      <c r="B145" t="s">
        <v>4</v>
      </c>
      <c r="C145" t="s">
        <v>36</v>
      </c>
      <c r="D145">
        <v>29190</v>
      </c>
    </row>
    <row r="146" spans="1:4" x14ac:dyDescent="0.2">
      <c r="A146">
        <v>2009</v>
      </c>
      <c r="B146" t="s">
        <v>3</v>
      </c>
      <c r="C146" t="s">
        <v>19</v>
      </c>
      <c r="D146">
        <v>2199</v>
      </c>
    </row>
    <row r="147" spans="1:4" x14ac:dyDescent="0.2">
      <c r="A147">
        <v>2009</v>
      </c>
      <c r="B147" t="s">
        <v>3</v>
      </c>
      <c r="C147" t="s">
        <v>20</v>
      </c>
      <c r="D147">
        <v>22605</v>
      </c>
    </row>
    <row r="148" spans="1:4" x14ac:dyDescent="0.2">
      <c r="A148">
        <v>2009</v>
      </c>
      <c r="B148" t="s">
        <v>3</v>
      </c>
      <c r="C148" t="s">
        <v>21</v>
      </c>
      <c r="D148">
        <v>6147</v>
      </c>
    </row>
    <row r="149" spans="1:4" x14ac:dyDescent="0.2">
      <c r="A149">
        <v>2009</v>
      </c>
      <c r="B149" t="s">
        <v>3</v>
      </c>
      <c r="C149" t="s">
        <v>22</v>
      </c>
      <c r="D149">
        <v>3939</v>
      </c>
    </row>
    <row r="150" spans="1:4" x14ac:dyDescent="0.2">
      <c r="A150">
        <v>2009</v>
      </c>
      <c r="B150" t="s">
        <v>3</v>
      </c>
      <c r="C150" t="s">
        <v>23</v>
      </c>
      <c r="D150">
        <v>729</v>
      </c>
    </row>
    <row r="151" spans="1:4" x14ac:dyDescent="0.2">
      <c r="A151">
        <v>2009</v>
      </c>
      <c r="B151" t="s">
        <v>3</v>
      </c>
      <c r="C151" t="s">
        <v>24</v>
      </c>
      <c r="D151">
        <v>2352</v>
      </c>
    </row>
    <row r="152" spans="1:4" x14ac:dyDescent="0.2">
      <c r="A152">
        <v>2009</v>
      </c>
      <c r="B152" t="s">
        <v>3</v>
      </c>
      <c r="C152" t="s">
        <v>25</v>
      </c>
      <c r="D152">
        <v>1587</v>
      </c>
    </row>
    <row r="153" spans="1:4" x14ac:dyDescent="0.2">
      <c r="A153">
        <v>2009</v>
      </c>
      <c r="B153" t="s">
        <v>3</v>
      </c>
      <c r="C153" t="s">
        <v>26</v>
      </c>
      <c r="D153">
        <v>3153</v>
      </c>
    </row>
    <row r="154" spans="1:4" x14ac:dyDescent="0.2">
      <c r="A154">
        <v>2009</v>
      </c>
      <c r="B154" t="s">
        <v>3</v>
      </c>
      <c r="C154" t="s">
        <v>27</v>
      </c>
      <c r="D154">
        <v>6792</v>
      </c>
    </row>
    <row r="155" spans="1:4" x14ac:dyDescent="0.2">
      <c r="A155">
        <v>2009</v>
      </c>
      <c r="B155" t="s">
        <v>3</v>
      </c>
      <c r="C155" t="s">
        <v>28</v>
      </c>
      <c r="D155">
        <v>498</v>
      </c>
    </row>
    <row r="156" spans="1:4" x14ac:dyDescent="0.2">
      <c r="A156">
        <v>2009</v>
      </c>
      <c r="B156" t="s">
        <v>3</v>
      </c>
      <c r="C156" t="s">
        <v>29</v>
      </c>
      <c r="D156">
        <v>603</v>
      </c>
    </row>
    <row r="157" spans="1:4" x14ac:dyDescent="0.2">
      <c r="A157">
        <v>2009</v>
      </c>
      <c r="B157" t="s">
        <v>3</v>
      </c>
      <c r="C157" t="s">
        <v>30</v>
      </c>
      <c r="D157">
        <v>552</v>
      </c>
    </row>
    <row r="158" spans="1:4" x14ac:dyDescent="0.2">
      <c r="A158">
        <v>2009</v>
      </c>
      <c r="B158" t="s">
        <v>3</v>
      </c>
      <c r="C158" t="s">
        <v>31</v>
      </c>
      <c r="D158">
        <v>432</v>
      </c>
    </row>
    <row r="159" spans="1:4" x14ac:dyDescent="0.2">
      <c r="A159">
        <v>2009</v>
      </c>
      <c r="B159" t="s">
        <v>3</v>
      </c>
      <c r="C159" t="s">
        <v>32</v>
      </c>
      <c r="D159">
        <v>7161</v>
      </c>
    </row>
    <row r="160" spans="1:4" x14ac:dyDescent="0.2">
      <c r="A160">
        <v>2009</v>
      </c>
      <c r="B160" t="s">
        <v>3</v>
      </c>
      <c r="C160" t="s">
        <v>33</v>
      </c>
      <c r="D160">
        <v>2352</v>
      </c>
    </row>
    <row r="161" spans="1:4" x14ac:dyDescent="0.2">
      <c r="A161">
        <v>2009</v>
      </c>
      <c r="B161" t="s">
        <v>3</v>
      </c>
      <c r="C161" t="s">
        <v>34</v>
      </c>
      <c r="D161">
        <v>1356</v>
      </c>
    </row>
    <row r="162" spans="1:4" hidden="1" x14ac:dyDescent="0.2">
      <c r="A162">
        <v>2009</v>
      </c>
      <c r="B162" t="s">
        <v>3</v>
      </c>
      <c r="C162" s="1" t="s">
        <v>35</v>
      </c>
      <c r="D162">
        <v>90</v>
      </c>
    </row>
    <row r="163" spans="1:4" hidden="1" x14ac:dyDescent="0.2">
      <c r="A163">
        <v>2009</v>
      </c>
      <c r="B163" t="s">
        <v>3</v>
      </c>
      <c r="C163" t="s">
        <v>36</v>
      </c>
      <c r="D163">
        <v>62544</v>
      </c>
    </row>
    <row r="164" spans="1:4" hidden="1" x14ac:dyDescent="0.2">
      <c r="A164">
        <v>2009</v>
      </c>
      <c r="B164" t="s">
        <v>4</v>
      </c>
      <c r="C164" t="s">
        <v>19</v>
      </c>
      <c r="D164">
        <v>1287</v>
      </c>
    </row>
    <row r="165" spans="1:4" hidden="1" x14ac:dyDescent="0.2">
      <c r="A165">
        <v>2009</v>
      </c>
      <c r="B165" t="s">
        <v>4</v>
      </c>
      <c r="C165" t="s">
        <v>20</v>
      </c>
      <c r="D165">
        <v>7386</v>
      </c>
    </row>
    <row r="166" spans="1:4" hidden="1" x14ac:dyDescent="0.2">
      <c r="A166">
        <v>2009</v>
      </c>
      <c r="B166" t="s">
        <v>4</v>
      </c>
      <c r="C166" t="s">
        <v>21</v>
      </c>
      <c r="D166">
        <v>2760</v>
      </c>
    </row>
    <row r="167" spans="1:4" hidden="1" x14ac:dyDescent="0.2">
      <c r="A167">
        <v>2009</v>
      </c>
      <c r="B167" t="s">
        <v>4</v>
      </c>
      <c r="C167" t="s">
        <v>22</v>
      </c>
      <c r="D167">
        <v>2226</v>
      </c>
    </row>
    <row r="168" spans="1:4" hidden="1" x14ac:dyDescent="0.2">
      <c r="A168">
        <v>2009</v>
      </c>
      <c r="B168" t="s">
        <v>4</v>
      </c>
      <c r="C168" t="s">
        <v>23</v>
      </c>
      <c r="D168">
        <v>360</v>
      </c>
    </row>
    <row r="169" spans="1:4" hidden="1" x14ac:dyDescent="0.2">
      <c r="A169">
        <v>2009</v>
      </c>
      <c r="B169" t="s">
        <v>4</v>
      </c>
      <c r="C169" t="s">
        <v>24</v>
      </c>
      <c r="D169">
        <v>1251</v>
      </c>
    </row>
    <row r="170" spans="1:4" hidden="1" x14ac:dyDescent="0.2">
      <c r="A170">
        <v>2009</v>
      </c>
      <c r="B170" t="s">
        <v>4</v>
      </c>
      <c r="C170" t="s">
        <v>25</v>
      </c>
      <c r="D170">
        <v>897</v>
      </c>
    </row>
    <row r="171" spans="1:4" hidden="1" x14ac:dyDescent="0.2">
      <c r="A171">
        <v>2009</v>
      </c>
      <c r="B171" t="s">
        <v>4</v>
      </c>
      <c r="C171" t="s">
        <v>26</v>
      </c>
      <c r="D171">
        <v>1941</v>
      </c>
    </row>
    <row r="172" spans="1:4" hidden="1" x14ac:dyDescent="0.2">
      <c r="A172">
        <v>2009</v>
      </c>
      <c r="B172" t="s">
        <v>4</v>
      </c>
      <c r="C172" t="s">
        <v>27</v>
      </c>
      <c r="D172">
        <v>2955</v>
      </c>
    </row>
    <row r="173" spans="1:4" hidden="1" x14ac:dyDescent="0.2">
      <c r="A173">
        <v>2009</v>
      </c>
      <c r="B173" t="s">
        <v>4</v>
      </c>
      <c r="C173" t="s">
        <v>28</v>
      </c>
      <c r="D173">
        <v>300</v>
      </c>
    </row>
    <row r="174" spans="1:4" hidden="1" x14ac:dyDescent="0.2">
      <c r="A174">
        <v>2009</v>
      </c>
      <c r="B174" t="s">
        <v>4</v>
      </c>
      <c r="C174" t="s">
        <v>29</v>
      </c>
      <c r="D174">
        <v>360</v>
      </c>
    </row>
    <row r="175" spans="1:4" hidden="1" x14ac:dyDescent="0.2">
      <c r="A175">
        <v>2009</v>
      </c>
      <c r="B175" t="s">
        <v>4</v>
      </c>
      <c r="C175" t="s">
        <v>30</v>
      </c>
      <c r="D175">
        <v>378</v>
      </c>
    </row>
    <row r="176" spans="1:4" hidden="1" x14ac:dyDescent="0.2">
      <c r="A176">
        <v>2009</v>
      </c>
      <c r="B176" t="s">
        <v>4</v>
      </c>
      <c r="C176" t="s">
        <v>31</v>
      </c>
      <c r="D176">
        <v>264</v>
      </c>
    </row>
    <row r="177" spans="1:4" hidden="1" x14ac:dyDescent="0.2">
      <c r="A177">
        <v>2009</v>
      </c>
      <c r="B177" t="s">
        <v>4</v>
      </c>
      <c r="C177" t="s">
        <v>32</v>
      </c>
      <c r="D177">
        <v>4206</v>
      </c>
    </row>
    <row r="178" spans="1:4" hidden="1" x14ac:dyDescent="0.2">
      <c r="A178">
        <v>2009</v>
      </c>
      <c r="B178" t="s">
        <v>4</v>
      </c>
      <c r="C178" t="s">
        <v>33</v>
      </c>
      <c r="D178">
        <v>1560</v>
      </c>
    </row>
    <row r="179" spans="1:4" hidden="1" x14ac:dyDescent="0.2">
      <c r="A179">
        <v>2009</v>
      </c>
      <c r="B179" t="s">
        <v>4</v>
      </c>
      <c r="C179" t="s">
        <v>34</v>
      </c>
      <c r="D179">
        <v>765</v>
      </c>
    </row>
    <row r="180" spans="1:4" hidden="1" x14ac:dyDescent="0.2">
      <c r="A180">
        <v>2009</v>
      </c>
      <c r="B180" t="s">
        <v>4</v>
      </c>
      <c r="C180" s="1" t="s">
        <v>35</v>
      </c>
      <c r="D180">
        <v>66</v>
      </c>
    </row>
    <row r="181" spans="1:4" hidden="1" x14ac:dyDescent="0.2">
      <c r="A181">
        <v>2009</v>
      </c>
      <c r="B181" t="s">
        <v>4</v>
      </c>
      <c r="C181" t="s">
        <v>36</v>
      </c>
      <c r="D181">
        <v>28962</v>
      </c>
    </row>
    <row r="182" spans="1:4" x14ac:dyDescent="0.2">
      <c r="A182">
        <v>2010</v>
      </c>
      <c r="B182" t="s">
        <v>3</v>
      </c>
      <c r="C182" t="s">
        <v>19</v>
      </c>
      <c r="D182">
        <v>2397</v>
      </c>
    </row>
    <row r="183" spans="1:4" x14ac:dyDescent="0.2">
      <c r="A183">
        <v>2010</v>
      </c>
      <c r="B183" t="s">
        <v>3</v>
      </c>
      <c r="C183" t="s">
        <v>20</v>
      </c>
      <c r="D183">
        <v>23214</v>
      </c>
    </row>
    <row r="184" spans="1:4" x14ac:dyDescent="0.2">
      <c r="A184">
        <v>2010</v>
      </c>
      <c r="B184" t="s">
        <v>3</v>
      </c>
      <c r="C184" t="s">
        <v>21</v>
      </c>
      <c r="D184">
        <v>6324</v>
      </c>
    </row>
    <row r="185" spans="1:4" x14ac:dyDescent="0.2">
      <c r="A185">
        <v>2010</v>
      </c>
      <c r="B185" t="s">
        <v>3</v>
      </c>
      <c r="C185" t="s">
        <v>22</v>
      </c>
      <c r="D185">
        <v>3957</v>
      </c>
    </row>
    <row r="186" spans="1:4" x14ac:dyDescent="0.2">
      <c r="A186">
        <v>2010</v>
      </c>
      <c r="B186" t="s">
        <v>3</v>
      </c>
      <c r="C186" t="s">
        <v>23</v>
      </c>
      <c r="D186">
        <v>783</v>
      </c>
    </row>
    <row r="187" spans="1:4" x14ac:dyDescent="0.2">
      <c r="A187">
        <v>2010</v>
      </c>
      <c r="B187" t="s">
        <v>3</v>
      </c>
      <c r="C187" t="s">
        <v>24</v>
      </c>
      <c r="D187">
        <v>2286</v>
      </c>
    </row>
    <row r="188" spans="1:4" x14ac:dyDescent="0.2">
      <c r="A188">
        <v>2010</v>
      </c>
      <c r="B188" t="s">
        <v>3</v>
      </c>
      <c r="C188" t="s">
        <v>25</v>
      </c>
      <c r="D188">
        <v>1596</v>
      </c>
    </row>
    <row r="189" spans="1:4" x14ac:dyDescent="0.2">
      <c r="A189">
        <v>2010</v>
      </c>
      <c r="B189" t="s">
        <v>3</v>
      </c>
      <c r="C189" t="s">
        <v>26</v>
      </c>
      <c r="D189">
        <v>3297</v>
      </c>
    </row>
    <row r="190" spans="1:4" x14ac:dyDescent="0.2">
      <c r="A190">
        <v>2010</v>
      </c>
      <c r="B190" t="s">
        <v>3</v>
      </c>
      <c r="C190" t="s">
        <v>27</v>
      </c>
      <c r="D190">
        <v>6771</v>
      </c>
    </row>
    <row r="191" spans="1:4" x14ac:dyDescent="0.2">
      <c r="A191">
        <v>2010</v>
      </c>
      <c r="B191" t="s">
        <v>3</v>
      </c>
      <c r="C191" t="s">
        <v>28</v>
      </c>
      <c r="D191">
        <v>543</v>
      </c>
    </row>
    <row r="192" spans="1:4" x14ac:dyDescent="0.2">
      <c r="A192">
        <v>2010</v>
      </c>
      <c r="B192" t="s">
        <v>3</v>
      </c>
      <c r="C192" t="s">
        <v>29</v>
      </c>
      <c r="D192">
        <v>603</v>
      </c>
    </row>
    <row r="193" spans="1:4" x14ac:dyDescent="0.2">
      <c r="A193">
        <v>2010</v>
      </c>
      <c r="B193" t="s">
        <v>3</v>
      </c>
      <c r="C193" t="s">
        <v>30</v>
      </c>
      <c r="D193">
        <v>573</v>
      </c>
    </row>
    <row r="194" spans="1:4" x14ac:dyDescent="0.2">
      <c r="A194">
        <v>2010</v>
      </c>
      <c r="B194" t="s">
        <v>3</v>
      </c>
      <c r="C194" t="s">
        <v>31</v>
      </c>
      <c r="D194">
        <v>429</v>
      </c>
    </row>
    <row r="195" spans="1:4" x14ac:dyDescent="0.2">
      <c r="A195">
        <v>2010</v>
      </c>
      <c r="B195" t="s">
        <v>3</v>
      </c>
      <c r="C195" t="s">
        <v>32</v>
      </c>
      <c r="D195">
        <v>7305</v>
      </c>
    </row>
    <row r="196" spans="1:4" x14ac:dyDescent="0.2">
      <c r="A196">
        <v>2010</v>
      </c>
      <c r="B196" t="s">
        <v>3</v>
      </c>
      <c r="C196" t="s">
        <v>33</v>
      </c>
      <c r="D196">
        <v>2331</v>
      </c>
    </row>
    <row r="197" spans="1:4" x14ac:dyDescent="0.2">
      <c r="A197">
        <v>2010</v>
      </c>
      <c r="B197" t="s">
        <v>3</v>
      </c>
      <c r="C197" t="s">
        <v>34</v>
      </c>
      <c r="D197">
        <v>1404</v>
      </c>
    </row>
    <row r="198" spans="1:4" hidden="1" x14ac:dyDescent="0.2">
      <c r="A198">
        <v>2010</v>
      </c>
      <c r="B198" t="s">
        <v>3</v>
      </c>
      <c r="C198" s="1" t="s">
        <v>35</v>
      </c>
      <c r="D198">
        <v>81</v>
      </c>
    </row>
    <row r="199" spans="1:4" hidden="1" x14ac:dyDescent="0.2">
      <c r="A199">
        <v>2010</v>
      </c>
      <c r="B199" t="s">
        <v>3</v>
      </c>
      <c r="C199" t="s">
        <v>36</v>
      </c>
      <c r="D199">
        <v>63897</v>
      </c>
    </row>
    <row r="200" spans="1:4" hidden="1" x14ac:dyDescent="0.2">
      <c r="A200">
        <v>2010</v>
      </c>
      <c r="B200" t="s">
        <v>4</v>
      </c>
      <c r="C200" t="s">
        <v>19</v>
      </c>
      <c r="D200">
        <v>1233</v>
      </c>
    </row>
    <row r="201" spans="1:4" hidden="1" x14ac:dyDescent="0.2">
      <c r="A201">
        <v>2010</v>
      </c>
      <c r="B201" t="s">
        <v>4</v>
      </c>
      <c r="C201" t="s">
        <v>20</v>
      </c>
      <c r="D201">
        <v>7227</v>
      </c>
    </row>
    <row r="202" spans="1:4" hidden="1" x14ac:dyDescent="0.2">
      <c r="A202">
        <v>2010</v>
      </c>
      <c r="B202" t="s">
        <v>4</v>
      </c>
      <c r="C202" t="s">
        <v>21</v>
      </c>
      <c r="D202">
        <v>2772</v>
      </c>
    </row>
    <row r="203" spans="1:4" hidden="1" x14ac:dyDescent="0.2">
      <c r="A203">
        <v>2010</v>
      </c>
      <c r="B203" t="s">
        <v>4</v>
      </c>
      <c r="C203" t="s">
        <v>22</v>
      </c>
      <c r="D203">
        <v>2139</v>
      </c>
    </row>
    <row r="204" spans="1:4" hidden="1" x14ac:dyDescent="0.2">
      <c r="A204">
        <v>2010</v>
      </c>
      <c r="B204" t="s">
        <v>4</v>
      </c>
      <c r="C204" t="s">
        <v>23</v>
      </c>
      <c r="D204">
        <v>381</v>
      </c>
    </row>
    <row r="205" spans="1:4" hidden="1" x14ac:dyDescent="0.2">
      <c r="A205">
        <v>2010</v>
      </c>
      <c r="B205" t="s">
        <v>4</v>
      </c>
      <c r="C205" t="s">
        <v>24</v>
      </c>
      <c r="D205">
        <v>1206</v>
      </c>
    </row>
    <row r="206" spans="1:4" hidden="1" x14ac:dyDescent="0.2">
      <c r="A206">
        <v>2010</v>
      </c>
      <c r="B206" t="s">
        <v>4</v>
      </c>
      <c r="C206" t="s">
        <v>25</v>
      </c>
      <c r="D206">
        <v>909</v>
      </c>
    </row>
    <row r="207" spans="1:4" hidden="1" x14ac:dyDescent="0.2">
      <c r="A207">
        <v>2010</v>
      </c>
      <c r="B207" t="s">
        <v>4</v>
      </c>
      <c r="C207" t="s">
        <v>26</v>
      </c>
      <c r="D207">
        <v>1905</v>
      </c>
    </row>
    <row r="208" spans="1:4" hidden="1" x14ac:dyDescent="0.2">
      <c r="A208">
        <v>2010</v>
      </c>
      <c r="B208" t="s">
        <v>4</v>
      </c>
      <c r="C208" t="s">
        <v>27</v>
      </c>
      <c r="D208">
        <v>2916</v>
      </c>
    </row>
    <row r="209" spans="1:4" hidden="1" x14ac:dyDescent="0.2">
      <c r="A209">
        <v>2010</v>
      </c>
      <c r="B209" t="s">
        <v>4</v>
      </c>
      <c r="C209" t="s">
        <v>28</v>
      </c>
      <c r="D209">
        <v>309</v>
      </c>
    </row>
    <row r="210" spans="1:4" hidden="1" x14ac:dyDescent="0.2">
      <c r="A210">
        <v>2010</v>
      </c>
      <c r="B210" t="s">
        <v>4</v>
      </c>
      <c r="C210" t="s">
        <v>29</v>
      </c>
      <c r="D210">
        <v>372</v>
      </c>
    </row>
    <row r="211" spans="1:4" hidden="1" x14ac:dyDescent="0.2">
      <c r="A211">
        <v>2010</v>
      </c>
      <c r="B211" t="s">
        <v>4</v>
      </c>
      <c r="C211" t="s">
        <v>30</v>
      </c>
      <c r="D211">
        <v>360</v>
      </c>
    </row>
    <row r="212" spans="1:4" hidden="1" x14ac:dyDescent="0.2">
      <c r="A212">
        <v>2010</v>
      </c>
      <c r="B212" t="s">
        <v>4</v>
      </c>
      <c r="C212" t="s">
        <v>31</v>
      </c>
      <c r="D212">
        <v>249</v>
      </c>
    </row>
    <row r="213" spans="1:4" hidden="1" x14ac:dyDescent="0.2">
      <c r="A213">
        <v>2010</v>
      </c>
      <c r="B213" t="s">
        <v>4</v>
      </c>
      <c r="C213" t="s">
        <v>32</v>
      </c>
      <c r="D213">
        <v>4272</v>
      </c>
    </row>
    <row r="214" spans="1:4" hidden="1" x14ac:dyDescent="0.2">
      <c r="A214">
        <v>2010</v>
      </c>
      <c r="B214" t="s">
        <v>4</v>
      </c>
      <c r="C214" t="s">
        <v>33</v>
      </c>
      <c r="D214">
        <v>1392</v>
      </c>
    </row>
    <row r="215" spans="1:4" hidden="1" x14ac:dyDescent="0.2">
      <c r="A215">
        <v>2010</v>
      </c>
      <c r="B215" t="s">
        <v>4</v>
      </c>
      <c r="C215" t="s">
        <v>34</v>
      </c>
      <c r="D215">
        <v>744</v>
      </c>
    </row>
    <row r="216" spans="1:4" hidden="1" x14ac:dyDescent="0.2">
      <c r="A216">
        <v>2010</v>
      </c>
      <c r="B216" t="s">
        <v>4</v>
      </c>
      <c r="C216" s="1" t="s">
        <v>35</v>
      </c>
      <c r="D216">
        <v>48</v>
      </c>
    </row>
    <row r="217" spans="1:4" hidden="1" x14ac:dyDescent="0.2">
      <c r="A217">
        <v>2010</v>
      </c>
      <c r="B217" t="s">
        <v>4</v>
      </c>
      <c r="C217" t="s">
        <v>36</v>
      </c>
      <c r="D217">
        <v>28437</v>
      </c>
    </row>
    <row r="218" spans="1:4" x14ac:dyDescent="0.2">
      <c r="A218">
        <v>2011</v>
      </c>
      <c r="B218" t="s">
        <v>3</v>
      </c>
      <c r="C218" t="s">
        <v>19</v>
      </c>
      <c r="D218">
        <v>2199</v>
      </c>
    </row>
    <row r="219" spans="1:4" x14ac:dyDescent="0.2">
      <c r="A219">
        <v>2011</v>
      </c>
      <c r="B219" t="s">
        <v>3</v>
      </c>
      <c r="C219" t="s">
        <v>20</v>
      </c>
      <c r="D219">
        <v>22659</v>
      </c>
    </row>
    <row r="220" spans="1:4" x14ac:dyDescent="0.2">
      <c r="A220">
        <v>2011</v>
      </c>
      <c r="B220" t="s">
        <v>3</v>
      </c>
      <c r="C220" t="s">
        <v>21</v>
      </c>
      <c r="D220">
        <v>5916</v>
      </c>
    </row>
    <row r="221" spans="1:4" x14ac:dyDescent="0.2">
      <c r="A221">
        <v>2011</v>
      </c>
      <c r="B221" t="s">
        <v>3</v>
      </c>
      <c r="C221" t="s">
        <v>22</v>
      </c>
      <c r="D221">
        <v>3951</v>
      </c>
    </row>
    <row r="222" spans="1:4" x14ac:dyDescent="0.2">
      <c r="A222">
        <v>2011</v>
      </c>
      <c r="B222" t="s">
        <v>3</v>
      </c>
      <c r="C222" t="s">
        <v>23</v>
      </c>
      <c r="D222">
        <v>738</v>
      </c>
    </row>
    <row r="223" spans="1:4" x14ac:dyDescent="0.2">
      <c r="A223">
        <v>2011</v>
      </c>
      <c r="B223" t="s">
        <v>3</v>
      </c>
      <c r="C223" t="s">
        <v>24</v>
      </c>
      <c r="D223">
        <v>2226</v>
      </c>
    </row>
    <row r="224" spans="1:4" x14ac:dyDescent="0.2">
      <c r="A224">
        <v>2011</v>
      </c>
      <c r="B224" t="s">
        <v>3</v>
      </c>
      <c r="C224" t="s">
        <v>25</v>
      </c>
      <c r="D224">
        <v>1554</v>
      </c>
    </row>
    <row r="225" spans="1:4" x14ac:dyDescent="0.2">
      <c r="A225">
        <v>2011</v>
      </c>
      <c r="B225" t="s">
        <v>3</v>
      </c>
      <c r="C225" t="s">
        <v>26</v>
      </c>
      <c r="D225">
        <v>3171</v>
      </c>
    </row>
    <row r="226" spans="1:4" x14ac:dyDescent="0.2">
      <c r="A226">
        <v>2011</v>
      </c>
      <c r="B226" t="s">
        <v>3</v>
      </c>
      <c r="C226" t="s">
        <v>27</v>
      </c>
      <c r="D226">
        <v>6528</v>
      </c>
    </row>
    <row r="227" spans="1:4" x14ac:dyDescent="0.2">
      <c r="A227">
        <v>2011</v>
      </c>
      <c r="B227" t="s">
        <v>3</v>
      </c>
      <c r="C227" t="s">
        <v>28</v>
      </c>
      <c r="D227">
        <v>501</v>
      </c>
    </row>
    <row r="228" spans="1:4" x14ac:dyDescent="0.2">
      <c r="A228">
        <v>2011</v>
      </c>
      <c r="B228" t="s">
        <v>3</v>
      </c>
      <c r="C228" t="s">
        <v>29</v>
      </c>
      <c r="D228">
        <v>600</v>
      </c>
    </row>
    <row r="229" spans="1:4" x14ac:dyDescent="0.2">
      <c r="A229">
        <v>2011</v>
      </c>
      <c r="B229" t="s">
        <v>3</v>
      </c>
      <c r="C229" t="s">
        <v>30</v>
      </c>
      <c r="D229">
        <v>540</v>
      </c>
    </row>
    <row r="230" spans="1:4" x14ac:dyDescent="0.2">
      <c r="A230">
        <v>2011</v>
      </c>
      <c r="B230" t="s">
        <v>3</v>
      </c>
      <c r="C230" t="s">
        <v>31</v>
      </c>
      <c r="D230">
        <v>432</v>
      </c>
    </row>
    <row r="231" spans="1:4" x14ac:dyDescent="0.2">
      <c r="A231">
        <v>2011</v>
      </c>
      <c r="B231" t="s">
        <v>3</v>
      </c>
      <c r="C231" t="s">
        <v>32</v>
      </c>
      <c r="D231">
        <v>6693</v>
      </c>
    </row>
    <row r="232" spans="1:4" x14ac:dyDescent="0.2">
      <c r="A232">
        <v>2011</v>
      </c>
      <c r="B232" t="s">
        <v>3</v>
      </c>
      <c r="C232" t="s">
        <v>33</v>
      </c>
      <c r="D232">
        <v>2340</v>
      </c>
    </row>
    <row r="233" spans="1:4" x14ac:dyDescent="0.2">
      <c r="A233">
        <v>2011</v>
      </c>
      <c r="B233" t="s">
        <v>3</v>
      </c>
      <c r="C233" t="s">
        <v>34</v>
      </c>
      <c r="D233">
        <v>1332</v>
      </c>
    </row>
    <row r="234" spans="1:4" hidden="1" x14ac:dyDescent="0.2">
      <c r="A234">
        <v>2011</v>
      </c>
      <c r="B234" t="s">
        <v>3</v>
      </c>
      <c r="C234" s="1" t="s">
        <v>35</v>
      </c>
      <c r="D234">
        <v>24</v>
      </c>
    </row>
    <row r="235" spans="1:4" hidden="1" x14ac:dyDescent="0.2">
      <c r="A235">
        <v>2011</v>
      </c>
      <c r="B235" t="s">
        <v>3</v>
      </c>
      <c r="C235" t="s">
        <v>36</v>
      </c>
      <c r="D235">
        <v>61401</v>
      </c>
    </row>
    <row r="236" spans="1:4" hidden="1" x14ac:dyDescent="0.2">
      <c r="A236">
        <v>2011</v>
      </c>
      <c r="B236" t="s">
        <v>4</v>
      </c>
      <c r="C236" t="s">
        <v>19</v>
      </c>
      <c r="D236">
        <v>1365</v>
      </c>
    </row>
    <row r="237" spans="1:4" hidden="1" x14ac:dyDescent="0.2">
      <c r="A237">
        <v>2011</v>
      </c>
      <c r="B237" t="s">
        <v>4</v>
      </c>
      <c r="C237" t="s">
        <v>20</v>
      </c>
      <c r="D237">
        <v>7692</v>
      </c>
    </row>
    <row r="238" spans="1:4" hidden="1" x14ac:dyDescent="0.2">
      <c r="A238">
        <v>2011</v>
      </c>
      <c r="B238" t="s">
        <v>4</v>
      </c>
      <c r="C238" t="s">
        <v>21</v>
      </c>
      <c r="D238">
        <v>2937</v>
      </c>
    </row>
    <row r="239" spans="1:4" hidden="1" x14ac:dyDescent="0.2">
      <c r="A239">
        <v>2011</v>
      </c>
      <c r="B239" t="s">
        <v>4</v>
      </c>
      <c r="C239" t="s">
        <v>22</v>
      </c>
      <c r="D239">
        <v>2202</v>
      </c>
    </row>
    <row r="240" spans="1:4" hidden="1" x14ac:dyDescent="0.2">
      <c r="A240">
        <v>2011</v>
      </c>
      <c r="B240" t="s">
        <v>4</v>
      </c>
      <c r="C240" t="s">
        <v>23</v>
      </c>
      <c r="D240">
        <v>366</v>
      </c>
    </row>
    <row r="241" spans="1:4" hidden="1" x14ac:dyDescent="0.2">
      <c r="A241">
        <v>2011</v>
      </c>
      <c r="B241" t="s">
        <v>4</v>
      </c>
      <c r="C241" t="s">
        <v>24</v>
      </c>
      <c r="D241">
        <v>1269</v>
      </c>
    </row>
    <row r="242" spans="1:4" hidden="1" x14ac:dyDescent="0.2">
      <c r="A242">
        <v>2011</v>
      </c>
      <c r="B242" t="s">
        <v>4</v>
      </c>
      <c r="C242" t="s">
        <v>25</v>
      </c>
      <c r="D242">
        <v>978</v>
      </c>
    </row>
    <row r="243" spans="1:4" hidden="1" x14ac:dyDescent="0.2">
      <c r="A243">
        <v>2011</v>
      </c>
      <c r="B243" t="s">
        <v>4</v>
      </c>
      <c r="C243" t="s">
        <v>26</v>
      </c>
      <c r="D243">
        <v>1911</v>
      </c>
    </row>
    <row r="244" spans="1:4" hidden="1" x14ac:dyDescent="0.2">
      <c r="A244">
        <v>2011</v>
      </c>
      <c r="B244" t="s">
        <v>4</v>
      </c>
      <c r="C244" t="s">
        <v>27</v>
      </c>
      <c r="D244">
        <v>3123</v>
      </c>
    </row>
    <row r="245" spans="1:4" hidden="1" x14ac:dyDescent="0.2">
      <c r="A245">
        <v>2011</v>
      </c>
      <c r="B245" t="s">
        <v>4</v>
      </c>
      <c r="C245" t="s">
        <v>28</v>
      </c>
      <c r="D245">
        <v>348</v>
      </c>
    </row>
    <row r="246" spans="1:4" hidden="1" x14ac:dyDescent="0.2">
      <c r="A246">
        <v>2011</v>
      </c>
      <c r="B246" t="s">
        <v>4</v>
      </c>
      <c r="C246" t="s">
        <v>29</v>
      </c>
      <c r="D246">
        <v>375</v>
      </c>
    </row>
    <row r="247" spans="1:4" hidden="1" x14ac:dyDescent="0.2">
      <c r="A247">
        <v>2011</v>
      </c>
      <c r="B247" t="s">
        <v>4</v>
      </c>
      <c r="C247" t="s">
        <v>30</v>
      </c>
      <c r="D247">
        <v>378</v>
      </c>
    </row>
    <row r="248" spans="1:4" hidden="1" x14ac:dyDescent="0.2">
      <c r="A248">
        <v>2011</v>
      </c>
      <c r="B248" t="s">
        <v>4</v>
      </c>
      <c r="C248" t="s">
        <v>31</v>
      </c>
      <c r="D248">
        <v>291</v>
      </c>
    </row>
    <row r="249" spans="1:4" hidden="1" x14ac:dyDescent="0.2">
      <c r="A249">
        <v>2011</v>
      </c>
      <c r="B249" t="s">
        <v>4</v>
      </c>
      <c r="C249" t="s">
        <v>32</v>
      </c>
      <c r="D249">
        <v>4473</v>
      </c>
    </row>
    <row r="250" spans="1:4" hidden="1" x14ac:dyDescent="0.2">
      <c r="A250">
        <v>2011</v>
      </c>
      <c r="B250" t="s">
        <v>4</v>
      </c>
      <c r="C250" t="s">
        <v>33</v>
      </c>
      <c r="D250">
        <v>1542</v>
      </c>
    </row>
    <row r="251" spans="1:4" hidden="1" x14ac:dyDescent="0.2">
      <c r="A251">
        <v>2011</v>
      </c>
      <c r="B251" t="s">
        <v>4</v>
      </c>
      <c r="C251" t="s">
        <v>34</v>
      </c>
      <c r="D251">
        <v>807</v>
      </c>
    </row>
    <row r="252" spans="1:4" hidden="1" x14ac:dyDescent="0.2">
      <c r="A252">
        <v>2011</v>
      </c>
      <c r="B252" t="s">
        <v>4</v>
      </c>
      <c r="C252" s="1" t="s">
        <v>35</v>
      </c>
      <c r="D252">
        <v>27</v>
      </c>
    </row>
    <row r="253" spans="1:4" hidden="1" x14ac:dyDescent="0.2">
      <c r="A253">
        <v>2011</v>
      </c>
      <c r="B253" t="s">
        <v>4</v>
      </c>
      <c r="C253" t="s">
        <v>36</v>
      </c>
      <c r="D253">
        <v>30081</v>
      </c>
    </row>
    <row r="254" spans="1:4" x14ac:dyDescent="0.2">
      <c r="A254">
        <v>2012</v>
      </c>
      <c r="B254" t="s">
        <v>3</v>
      </c>
      <c r="C254" t="s">
        <v>19</v>
      </c>
      <c r="D254">
        <v>2310</v>
      </c>
    </row>
    <row r="255" spans="1:4" x14ac:dyDescent="0.2">
      <c r="A255">
        <v>2012</v>
      </c>
      <c r="B255" t="s">
        <v>3</v>
      </c>
      <c r="C255" t="s">
        <v>20</v>
      </c>
      <c r="D255">
        <v>22836</v>
      </c>
    </row>
    <row r="256" spans="1:4" x14ac:dyDescent="0.2">
      <c r="A256">
        <v>2012</v>
      </c>
      <c r="B256" t="s">
        <v>3</v>
      </c>
      <c r="C256" t="s">
        <v>21</v>
      </c>
      <c r="D256">
        <v>6051</v>
      </c>
    </row>
    <row r="257" spans="1:4" x14ac:dyDescent="0.2">
      <c r="A257">
        <v>2012</v>
      </c>
      <c r="B257" t="s">
        <v>3</v>
      </c>
      <c r="C257" t="s">
        <v>22</v>
      </c>
      <c r="D257">
        <v>3876</v>
      </c>
    </row>
    <row r="258" spans="1:4" x14ac:dyDescent="0.2">
      <c r="A258">
        <v>2012</v>
      </c>
      <c r="B258" t="s">
        <v>3</v>
      </c>
      <c r="C258" t="s">
        <v>23</v>
      </c>
      <c r="D258">
        <v>708</v>
      </c>
    </row>
    <row r="259" spans="1:4" x14ac:dyDescent="0.2">
      <c r="A259">
        <v>2012</v>
      </c>
      <c r="B259" t="s">
        <v>3</v>
      </c>
      <c r="C259" t="s">
        <v>24</v>
      </c>
      <c r="D259">
        <v>2238</v>
      </c>
    </row>
    <row r="260" spans="1:4" x14ac:dyDescent="0.2">
      <c r="A260">
        <v>2012</v>
      </c>
      <c r="B260" t="s">
        <v>3</v>
      </c>
      <c r="C260" t="s">
        <v>25</v>
      </c>
      <c r="D260">
        <v>1533</v>
      </c>
    </row>
    <row r="261" spans="1:4" x14ac:dyDescent="0.2">
      <c r="A261">
        <v>2012</v>
      </c>
      <c r="B261" t="s">
        <v>3</v>
      </c>
      <c r="C261" t="s">
        <v>26</v>
      </c>
      <c r="D261">
        <v>3015</v>
      </c>
    </row>
    <row r="262" spans="1:4" x14ac:dyDescent="0.2">
      <c r="A262">
        <v>2012</v>
      </c>
      <c r="B262" t="s">
        <v>3</v>
      </c>
      <c r="C262" t="s">
        <v>27</v>
      </c>
      <c r="D262">
        <v>6435</v>
      </c>
    </row>
    <row r="263" spans="1:4" x14ac:dyDescent="0.2">
      <c r="A263">
        <v>2012</v>
      </c>
      <c r="B263" t="s">
        <v>3</v>
      </c>
      <c r="C263" t="s">
        <v>28</v>
      </c>
      <c r="D263">
        <v>477</v>
      </c>
    </row>
    <row r="264" spans="1:4" x14ac:dyDescent="0.2">
      <c r="A264">
        <v>2012</v>
      </c>
      <c r="B264" t="s">
        <v>3</v>
      </c>
      <c r="C264" t="s">
        <v>29</v>
      </c>
      <c r="D264">
        <v>546</v>
      </c>
    </row>
    <row r="265" spans="1:4" x14ac:dyDescent="0.2">
      <c r="A265">
        <v>2012</v>
      </c>
      <c r="B265" t="s">
        <v>3</v>
      </c>
      <c r="C265" t="s">
        <v>30</v>
      </c>
      <c r="D265">
        <v>507</v>
      </c>
    </row>
    <row r="266" spans="1:4" x14ac:dyDescent="0.2">
      <c r="A266">
        <v>2012</v>
      </c>
      <c r="B266" t="s">
        <v>3</v>
      </c>
      <c r="C266" t="s">
        <v>31</v>
      </c>
      <c r="D266">
        <v>417</v>
      </c>
    </row>
    <row r="267" spans="1:4" x14ac:dyDescent="0.2">
      <c r="A267">
        <v>2012</v>
      </c>
      <c r="B267" t="s">
        <v>3</v>
      </c>
      <c r="C267" t="s">
        <v>32</v>
      </c>
      <c r="D267">
        <v>6633</v>
      </c>
    </row>
    <row r="268" spans="1:4" x14ac:dyDescent="0.2">
      <c r="A268">
        <v>2012</v>
      </c>
      <c r="B268" t="s">
        <v>3</v>
      </c>
      <c r="C268" t="s">
        <v>33</v>
      </c>
      <c r="D268">
        <v>2337</v>
      </c>
    </row>
    <row r="269" spans="1:4" x14ac:dyDescent="0.2">
      <c r="A269">
        <v>2012</v>
      </c>
      <c r="B269" t="s">
        <v>3</v>
      </c>
      <c r="C269" t="s">
        <v>34</v>
      </c>
      <c r="D269">
        <v>1245</v>
      </c>
    </row>
    <row r="270" spans="1:4" hidden="1" x14ac:dyDescent="0.2">
      <c r="A270">
        <v>2012</v>
      </c>
      <c r="B270" t="s">
        <v>3</v>
      </c>
      <c r="C270" s="1" t="s">
        <v>35</v>
      </c>
      <c r="D270">
        <v>18</v>
      </c>
    </row>
    <row r="271" spans="1:4" hidden="1" x14ac:dyDescent="0.2">
      <c r="A271">
        <v>2012</v>
      </c>
      <c r="B271" t="s">
        <v>3</v>
      </c>
      <c r="C271" t="s">
        <v>36</v>
      </c>
      <c r="D271">
        <v>61179</v>
      </c>
    </row>
    <row r="272" spans="1:4" hidden="1" x14ac:dyDescent="0.2">
      <c r="A272">
        <v>2012</v>
      </c>
      <c r="B272" t="s">
        <v>4</v>
      </c>
      <c r="C272" t="s">
        <v>19</v>
      </c>
      <c r="D272">
        <v>1374</v>
      </c>
    </row>
    <row r="273" spans="1:4" hidden="1" x14ac:dyDescent="0.2">
      <c r="A273">
        <v>2012</v>
      </c>
      <c r="B273" t="s">
        <v>4</v>
      </c>
      <c r="C273" t="s">
        <v>20</v>
      </c>
      <c r="D273">
        <v>7665</v>
      </c>
    </row>
    <row r="274" spans="1:4" hidden="1" x14ac:dyDescent="0.2">
      <c r="A274">
        <v>2012</v>
      </c>
      <c r="B274" t="s">
        <v>4</v>
      </c>
      <c r="C274" t="s">
        <v>21</v>
      </c>
      <c r="D274">
        <v>2931</v>
      </c>
    </row>
    <row r="275" spans="1:4" hidden="1" x14ac:dyDescent="0.2">
      <c r="A275">
        <v>2012</v>
      </c>
      <c r="B275" t="s">
        <v>4</v>
      </c>
      <c r="C275" t="s">
        <v>22</v>
      </c>
      <c r="D275">
        <v>2211</v>
      </c>
    </row>
    <row r="276" spans="1:4" hidden="1" x14ac:dyDescent="0.2">
      <c r="A276">
        <v>2012</v>
      </c>
      <c r="B276" t="s">
        <v>4</v>
      </c>
      <c r="C276" t="s">
        <v>23</v>
      </c>
      <c r="D276">
        <v>396</v>
      </c>
    </row>
    <row r="277" spans="1:4" hidden="1" x14ac:dyDescent="0.2">
      <c r="A277">
        <v>2012</v>
      </c>
      <c r="B277" t="s">
        <v>4</v>
      </c>
      <c r="C277" t="s">
        <v>24</v>
      </c>
      <c r="D277">
        <v>1326</v>
      </c>
    </row>
    <row r="278" spans="1:4" hidden="1" x14ac:dyDescent="0.2">
      <c r="A278">
        <v>2012</v>
      </c>
      <c r="B278" t="s">
        <v>4</v>
      </c>
      <c r="C278" t="s">
        <v>25</v>
      </c>
      <c r="D278">
        <v>948</v>
      </c>
    </row>
    <row r="279" spans="1:4" hidden="1" x14ac:dyDescent="0.2">
      <c r="A279">
        <v>2012</v>
      </c>
      <c r="B279" t="s">
        <v>4</v>
      </c>
      <c r="C279" t="s">
        <v>26</v>
      </c>
      <c r="D279">
        <v>1920</v>
      </c>
    </row>
    <row r="280" spans="1:4" hidden="1" x14ac:dyDescent="0.2">
      <c r="A280">
        <v>2012</v>
      </c>
      <c r="B280" t="s">
        <v>4</v>
      </c>
      <c r="C280" t="s">
        <v>27</v>
      </c>
      <c r="D280">
        <v>3123</v>
      </c>
    </row>
    <row r="281" spans="1:4" hidden="1" x14ac:dyDescent="0.2">
      <c r="A281">
        <v>2012</v>
      </c>
      <c r="B281" t="s">
        <v>4</v>
      </c>
      <c r="C281" t="s">
        <v>28</v>
      </c>
      <c r="D281">
        <v>342</v>
      </c>
    </row>
    <row r="282" spans="1:4" hidden="1" x14ac:dyDescent="0.2">
      <c r="A282">
        <v>2012</v>
      </c>
      <c r="B282" t="s">
        <v>4</v>
      </c>
      <c r="C282" t="s">
        <v>29</v>
      </c>
      <c r="D282">
        <v>417</v>
      </c>
    </row>
    <row r="283" spans="1:4" hidden="1" x14ac:dyDescent="0.2">
      <c r="A283">
        <v>2012</v>
      </c>
      <c r="B283" t="s">
        <v>4</v>
      </c>
      <c r="C283" t="s">
        <v>30</v>
      </c>
      <c r="D283">
        <v>393</v>
      </c>
    </row>
    <row r="284" spans="1:4" hidden="1" x14ac:dyDescent="0.2">
      <c r="A284">
        <v>2012</v>
      </c>
      <c r="B284" t="s">
        <v>4</v>
      </c>
      <c r="C284" t="s">
        <v>31</v>
      </c>
      <c r="D284">
        <v>252</v>
      </c>
    </row>
    <row r="285" spans="1:4" hidden="1" x14ac:dyDescent="0.2">
      <c r="A285">
        <v>2012</v>
      </c>
      <c r="B285" t="s">
        <v>4</v>
      </c>
      <c r="C285" t="s">
        <v>32</v>
      </c>
      <c r="D285">
        <v>4359</v>
      </c>
    </row>
    <row r="286" spans="1:4" hidden="1" x14ac:dyDescent="0.2">
      <c r="A286">
        <v>2012</v>
      </c>
      <c r="B286" t="s">
        <v>4</v>
      </c>
      <c r="C286" t="s">
        <v>33</v>
      </c>
      <c r="D286">
        <v>1635</v>
      </c>
    </row>
    <row r="287" spans="1:4" hidden="1" x14ac:dyDescent="0.2">
      <c r="A287">
        <v>2012</v>
      </c>
      <c r="B287" t="s">
        <v>4</v>
      </c>
      <c r="C287" t="s">
        <v>34</v>
      </c>
      <c r="D287">
        <v>783</v>
      </c>
    </row>
    <row r="288" spans="1:4" hidden="1" x14ac:dyDescent="0.2">
      <c r="A288">
        <v>2012</v>
      </c>
      <c r="B288" t="s">
        <v>4</v>
      </c>
      <c r="C288" s="1" t="s">
        <v>35</v>
      </c>
      <c r="D288">
        <v>21</v>
      </c>
    </row>
    <row r="289" spans="1:4" hidden="1" x14ac:dyDescent="0.2">
      <c r="A289">
        <v>2012</v>
      </c>
      <c r="B289" t="s">
        <v>4</v>
      </c>
      <c r="C289" t="s">
        <v>36</v>
      </c>
      <c r="D289">
        <v>30099</v>
      </c>
    </row>
    <row r="290" spans="1:4" x14ac:dyDescent="0.2">
      <c r="A290">
        <v>2013</v>
      </c>
      <c r="B290" t="s">
        <v>3</v>
      </c>
      <c r="C290" t="s">
        <v>19</v>
      </c>
      <c r="D290">
        <v>2124</v>
      </c>
    </row>
    <row r="291" spans="1:4" x14ac:dyDescent="0.2">
      <c r="A291">
        <v>2013</v>
      </c>
      <c r="B291" t="s">
        <v>3</v>
      </c>
      <c r="C291" t="s">
        <v>20</v>
      </c>
      <c r="D291">
        <v>21825</v>
      </c>
    </row>
    <row r="292" spans="1:4" x14ac:dyDescent="0.2">
      <c r="A292">
        <v>2013</v>
      </c>
      <c r="B292" t="s">
        <v>3</v>
      </c>
      <c r="C292" t="s">
        <v>21</v>
      </c>
      <c r="D292">
        <v>5745</v>
      </c>
    </row>
    <row r="293" spans="1:4" x14ac:dyDescent="0.2">
      <c r="A293">
        <v>2013</v>
      </c>
      <c r="B293" t="s">
        <v>3</v>
      </c>
      <c r="C293" t="s">
        <v>22</v>
      </c>
      <c r="D293">
        <v>3696</v>
      </c>
    </row>
    <row r="294" spans="1:4" x14ac:dyDescent="0.2">
      <c r="A294">
        <v>2013</v>
      </c>
      <c r="B294" t="s">
        <v>3</v>
      </c>
      <c r="C294" t="s">
        <v>23</v>
      </c>
      <c r="D294">
        <v>699</v>
      </c>
    </row>
    <row r="295" spans="1:4" x14ac:dyDescent="0.2">
      <c r="A295">
        <v>2013</v>
      </c>
      <c r="B295" t="s">
        <v>3</v>
      </c>
      <c r="C295" t="s">
        <v>24</v>
      </c>
      <c r="D295">
        <v>2160</v>
      </c>
    </row>
    <row r="296" spans="1:4" x14ac:dyDescent="0.2">
      <c r="A296">
        <v>2013</v>
      </c>
      <c r="B296" t="s">
        <v>3</v>
      </c>
      <c r="C296" t="s">
        <v>25</v>
      </c>
      <c r="D296">
        <v>1503</v>
      </c>
    </row>
    <row r="297" spans="1:4" x14ac:dyDescent="0.2">
      <c r="A297">
        <v>2013</v>
      </c>
      <c r="B297" t="s">
        <v>3</v>
      </c>
      <c r="C297" t="s">
        <v>26</v>
      </c>
      <c r="D297">
        <v>2985</v>
      </c>
    </row>
    <row r="298" spans="1:4" x14ac:dyDescent="0.2">
      <c r="A298">
        <v>2013</v>
      </c>
      <c r="B298" t="s">
        <v>3</v>
      </c>
      <c r="C298" t="s">
        <v>27</v>
      </c>
      <c r="D298">
        <v>6057</v>
      </c>
    </row>
    <row r="299" spans="1:4" x14ac:dyDescent="0.2">
      <c r="A299">
        <v>2013</v>
      </c>
      <c r="B299" t="s">
        <v>3</v>
      </c>
      <c r="C299" t="s">
        <v>28</v>
      </c>
      <c r="D299">
        <v>486</v>
      </c>
    </row>
    <row r="300" spans="1:4" x14ac:dyDescent="0.2">
      <c r="A300">
        <v>2013</v>
      </c>
      <c r="B300" t="s">
        <v>3</v>
      </c>
      <c r="C300" t="s">
        <v>29</v>
      </c>
      <c r="D300">
        <v>555</v>
      </c>
    </row>
    <row r="301" spans="1:4" x14ac:dyDescent="0.2">
      <c r="A301">
        <v>2013</v>
      </c>
      <c r="B301" t="s">
        <v>3</v>
      </c>
      <c r="C301" t="s">
        <v>30</v>
      </c>
      <c r="D301">
        <v>504</v>
      </c>
    </row>
    <row r="302" spans="1:4" x14ac:dyDescent="0.2">
      <c r="A302">
        <v>2013</v>
      </c>
      <c r="B302" t="s">
        <v>3</v>
      </c>
      <c r="C302" t="s">
        <v>31</v>
      </c>
      <c r="D302">
        <v>384</v>
      </c>
    </row>
    <row r="303" spans="1:4" x14ac:dyDescent="0.2">
      <c r="A303">
        <v>2013</v>
      </c>
      <c r="B303" t="s">
        <v>3</v>
      </c>
      <c r="C303" t="s">
        <v>32</v>
      </c>
      <c r="D303">
        <v>6543</v>
      </c>
    </row>
    <row r="304" spans="1:4" x14ac:dyDescent="0.2">
      <c r="A304">
        <v>2013</v>
      </c>
      <c r="B304" t="s">
        <v>3</v>
      </c>
      <c r="C304" t="s">
        <v>33</v>
      </c>
      <c r="D304">
        <v>2235</v>
      </c>
    </row>
    <row r="305" spans="1:4" x14ac:dyDescent="0.2">
      <c r="A305">
        <v>2013</v>
      </c>
      <c r="B305" t="s">
        <v>3</v>
      </c>
      <c r="C305" t="s">
        <v>34</v>
      </c>
      <c r="D305">
        <v>1200</v>
      </c>
    </row>
    <row r="306" spans="1:4" hidden="1" x14ac:dyDescent="0.2">
      <c r="A306">
        <v>2013</v>
      </c>
      <c r="B306" t="s">
        <v>3</v>
      </c>
      <c r="C306" s="1" t="s">
        <v>35</v>
      </c>
      <c r="D306">
        <v>12</v>
      </c>
    </row>
    <row r="307" spans="1:4" hidden="1" x14ac:dyDescent="0.2">
      <c r="A307">
        <v>2013</v>
      </c>
      <c r="B307" t="s">
        <v>3</v>
      </c>
      <c r="C307" t="s">
        <v>36</v>
      </c>
      <c r="D307">
        <v>58716</v>
      </c>
    </row>
    <row r="308" spans="1:4" hidden="1" x14ac:dyDescent="0.2">
      <c r="A308">
        <v>2013</v>
      </c>
      <c r="B308" t="s">
        <v>4</v>
      </c>
      <c r="C308" t="s">
        <v>19</v>
      </c>
      <c r="D308">
        <v>1365</v>
      </c>
    </row>
    <row r="309" spans="1:4" hidden="1" x14ac:dyDescent="0.2">
      <c r="A309">
        <v>2013</v>
      </c>
      <c r="B309" t="s">
        <v>4</v>
      </c>
      <c r="C309" t="s">
        <v>20</v>
      </c>
      <c r="D309">
        <v>7566</v>
      </c>
    </row>
    <row r="310" spans="1:4" hidden="1" x14ac:dyDescent="0.2">
      <c r="A310">
        <v>2013</v>
      </c>
      <c r="B310" t="s">
        <v>4</v>
      </c>
      <c r="C310" t="s">
        <v>21</v>
      </c>
      <c r="D310">
        <v>2919</v>
      </c>
    </row>
    <row r="311" spans="1:4" hidden="1" x14ac:dyDescent="0.2">
      <c r="A311">
        <v>2013</v>
      </c>
      <c r="B311" t="s">
        <v>4</v>
      </c>
      <c r="C311" t="s">
        <v>22</v>
      </c>
      <c r="D311">
        <v>2238</v>
      </c>
    </row>
    <row r="312" spans="1:4" hidden="1" x14ac:dyDescent="0.2">
      <c r="A312">
        <v>2013</v>
      </c>
      <c r="B312" t="s">
        <v>4</v>
      </c>
      <c r="C312" t="s">
        <v>23</v>
      </c>
      <c r="D312">
        <v>399</v>
      </c>
    </row>
    <row r="313" spans="1:4" hidden="1" x14ac:dyDescent="0.2">
      <c r="A313">
        <v>2013</v>
      </c>
      <c r="B313" t="s">
        <v>4</v>
      </c>
      <c r="C313" t="s">
        <v>24</v>
      </c>
      <c r="D313">
        <v>1269</v>
      </c>
    </row>
    <row r="314" spans="1:4" hidden="1" x14ac:dyDescent="0.2">
      <c r="A314">
        <v>2013</v>
      </c>
      <c r="B314" t="s">
        <v>4</v>
      </c>
      <c r="C314" t="s">
        <v>25</v>
      </c>
      <c r="D314">
        <v>888</v>
      </c>
    </row>
    <row r="315" spans="1:4" hidden="1" x14ac:dyDescent="0.2">
      <c r="A315">
        <v>2013</v>
      </c>
      <c r="B315" t="s">
        <v>4</v>
      </c>
      <c r="C315" t="s">
        <v>26</v>
      </c>
      <c r="D315">
        <v>1947</v>
      </c>
    </row>
    <row r="316" spans="1:4" hidden="1" x14ac:dyDescent="0.2">
      <c r="A316">
        <v>2013</v>
      </c>
      <c r="B316" t="s">
        <v>4</v>
      </c>
      <c r="C316" t="s">
        <v>27</v>
      </c>
      <c r="D316">
        <v>3024</v>
      </c>
    </row>
    <row r="317" spans="1:4" hidden="1" x14ac:dyDescent="0.2">
      <c r="A317">
        <v>2013</v>
      </c>
      <c r="B317" t="s">
        <v>4</v>
      </c>
      <c r="C317" t="s">
        <v>28</v>
      </c>
      <c r="D317">
        <v>372</v>
      </c>
    </row>
    <row r="318" spans="1:4" hidden="1" x14ac:dyDescent="0.2">
      <c r="A318">
        <v>2013</v>
      </c>
      <c r="B318" t="s">
        <v>4</v>
      </c>
      <c r="C318" t="s">
        <v>29</v>
      </c>
      <c r="D318">
        <v>411</v>
      </c>
    </row>
    <row r="319" spans="1:4" hidden="1" x14ac:dyDescent="0.2">
      <c r="A319">
        <v>2013</v>
      </c>
      <c r="B319" t="s">
        <v>4</v>
      </c>
      <c r="C319" t="s">
        <v>30</v>
      </c>
      <c r="D319">
        <v>396</v>
      </c>
    </row>
    <row r="320" spans="1:4" hidden="1" x14ac:dyDescent="0.2">
      <c r="A320">
        <v>2013</v>
      </c>
      <c r="B320" t="s">
        <v>4</v>
      </c>
      <c r="C320" t="s">
        <v>31</v>
      </c>
      <c r="D320">
        <v>291</v>
      </c>
    </row>
    <row r="321" spans="1:4" hidden="1" x14ac:dyDescent="0.2">
      <c r="A321">
        <v>2013</v>
      </c>
      <c r="B321" t="s">
        <v>4</v>
      </c>
      <c r="C321" t="s">
        <v>32</v>
      </c>
      <c r="D321">
        <v>4098</v>
      </c>
    </row>
    <row r="322" spans="1:4" hidden="1" x14ac:dyDescent="0.2">
      <c r="A322">
        <v>2013</v>
      </c>
      <c r="B322" t="s">
        <v>4</v>
      </c>
      <c r="C322" t="s">
        <v>33</v>
      </c>
      <c r="D322">
        <v>1581</v>
      </c>
    </row>
    <row r="323" spans="1:4" hidden="1" x14ac:dyDescent="0.2">
      <c r="A323">
        <v>2013</v>
      </c>
      <c r="B323" t="s">
        <v>4</v>
      </c>
      <c r="C323" t="s">
        <v>34</v>
      </c>
      <c r="D323">
        <v>780</v>
      </c>
    </row>
    <row r="324" spans="1:4" hidden="1" x14ac:dyDescent="0.2">
      <c r="A324">
        <v>2013</v>
      </c>
      <c r="B324" t="s">
        <v>4</v>
      </c>
      <c r="C324" s="1" t="s">
        <v>35</v>
      </c>
      <c r="D324">
        <v>24</v>
      </c>
    </row>
    <row r="325" spans="1:4" hidden="1" x14ac:dyDescent="0.2">
      <c r="A325">
        <v>2013</v>
      </c>
      <c r="B325" t="s">
        <v>4</v>
      </c>
      <c r="C325" t="s">
        <v>36</v>
      </c>
      <c r="D325">
        <v>29568</v>
      </c>
    </row>
    <row r="326" spans="1:4" x14ac:dyDescent="0.2">
      <c r="A326">
        <v>2014</v>
      </c>
      <c r="B326" t="s">
        <v>3</v>
      </c>
      <c r="C326" t="s">
        <v>19</v>
      </c>
      <c r="D326">
        <v>2049</v>
      </c>
    </row>
    <row r="327" spans="1:4" x14ac:dyDescent="0.2">
      <c r="A327">
        <v>2014</v>
      </c>
      <c r="B327" t="s">
        <v>3</v>
      </c>
      <c r="C327" t="s">
        <v>20</v>
      </c>
      <c r="D327">
        <v>21429</v>
      </c>
    </row>
    <row r="328" spans="1:4" x14ac:dyDescent="0.2">
      <c r="A328">
        <v>2014</v>
      </c>
      <c r="B328" t="s">
        <v>3</v>
      </c>
      <c r="C328" t="s">
        <v>21</v>
      </c>
      <c r="D328">
        <v>5688</v>
      </c>
    </row>
    <row r="329" spans="1:4" x14ac:dyDescent="0.2">
      <c r="A329">
        <v>2014</v>
      </c>
      <c r="B329" t="s">
        <v>3</v>
      </c>
      <c r="C329" t="s">
        <v>22</v>
      </c>
      <c r="D329">
        <v>3504</v>
      </c>
    </row>
    <row r="330" spans="1:4" x14ac:dyDescent="0.2">
      <c r="A330">
        <v>2014</v>
      </c>
      <c r="B330" t="s">
        <v>3</v>
      </c>
      <c r="C330" t="s">
        <v>23</v>
      </c>
      <c r="D330">
        <v>651</v>
      </c>
    </row>
    <row r="331" spans="1:4" x14ac:dyDescent="0.2">
      <c r="A331">
        <v>2014</v>
      </c>
      <c r="B331" t="s">
        <v>3</v>
      </c>
      <c r="C331" t="s">
        <v>24</v>
      </c>
      <c r="D331">
        <v>2037</v>
      </c>
    </row>
    <row r="332" spans="1:4" x14ac:dyDescent="0.2">
      <c r="A332">
        <v>2014</v>
      </c>
      <c r="B332" t="s">
        <v>3</v>
      </c>
      <c r="C332" t="s">
        <v>25</v>
      </c>
      <c r="D332">
        <v>1506</v>
      </c>
    </row>
    <row r="333" spans="1:4" x14ac:dyDescent="0.2">
      <c r="A333">
        <v>2014</v>
      </c>
      <c r="B333" t="s">
        <v>3</v>
      </c>
      <c r="C333" t="s">
        <v>26</v>
      </c>
      <c r="D333">
        <v>2865</v>
      </c>
    </row>
    <row r="334" spans="1:4" x14ac:dyDescent="0.2">
      <c r="A334">
        <v>2014</v>
      </c>
      <c r="B334" t="s">
        <v>3</v>
      </c>
      <c r="C334" t="s">
        <v>27</v>
      </c>
      <c r="D334">
        <v>5889</v>
      </c>
    </row>
    <row r="335" spans="1:4" x14ac:dyDescent="0.2">
      <c r="A335">
        <v>2014</v>
      </c>
      <c r="B335" t="s">
        <v>3</v>
      </c>
      <c r="C335" t="s">
        <v>28</v>
      </c>
      <c r="D335">
        <v>411</v>
      </c>
    </row>
    <row r="336" spans="1:4" x14ac:dyDescent="0.2">
      <c r="A336">
        <v>2014</v>
      </c>
      <c r="B336" t="s">
        <v>3</v>
      </c>
      <c r="C336" t="s">
        <v>29</v>
      </c>
      <c r="D336">
        <v>534</v>
      </c>
    </row>
    <row r="337" spans="1:4" x14ac:dyDescent="0.2">
      <c r="A337">
        <v>2014</v>
      </c>
      <c r="B337" t="s">
        <v>3</v>
      </c>
      <c r="C337" t="s">
        <v>30</v>
      </c>
      <c r="D337">
        <v>486</v>
      </c>
    </row>
    <row r="338" spans="1:4" x14ac:dyDescent="0.2">
      <c r="A338">
        <v>2014</v>
      </c>
      <c r="B338" t="s">
        <v>3</v>
      </c>
      <c r="C338" t="s">
        <v>31</v>
      </c>
      <c r="D338">
        <v>375</v>
      </c>
    </row>
    <row r="339" spans="1:4" x14ac:dyDescent="0.2">
      <c r="A339">
        <v>2014</v>
      </c>
      <c r="B339" t="s">
        <v>3</v>
      </c>
      <c r="C339" t="s">
        <v>32</v>
      </c>
      <c r="D339">
        <v>6573</v>
      </c>
    </row>
    <row r="340" spans="1:4" x14ac:dyDescent="0.2">
      <c r="A340">
        <v>2014</v>
      </c>
      <c r="B340" t="s">
        <v>3</v>
      </c>
      <c r="C340" t="s">
        <v>33</v>
      </c>
      <c r="D340">
        <v>2088</v>
      </c>
    </row>
    <row r="341" spans="1:4" x14ac:dyDescent="0.2">
      <c r="A341">
        <v>2014</v>
      </c>
      <c r="B341" t="s">
        <v>3</v>
      </c>
      <c r="C341" t="s">
        <v>34</v>
      </c>
      <c r="D341">
        <v>1134</v>
      </c>
    </row>
    <row r="342" spans="1:4" hidden="1" x14ac:dyDescent="0.2">
      <c r="A342">
        <v>2014</v>
      </c>
      <c r="B342" t="s">
        <v>3</v>
      </c>
      <c r="C342" s="1" t="s">
        <v>35</v>
      </c>
      <c r="D342">
        <v>21</v>
      </c>
    </row>
    <row r="343" spans="1:4" hidden="1" x14ac:dyDescent="0.2">
      <c r="A343">
        <v>2014</v>
      </c>
      <c r="B343" t="s">
        <v>3</v>
      </c>
      <c r="C343" t="s">
        <v>36</v>
      </c>
      <c r="D343">
        <v>57243</v>
      </c>
    </row>
    <row r="344" spans="1:4" hidden="1" x14ac:dyDescent="0.2">
      <c r="A344">
        <v>2014</v>
      </c>
      <c r="B344" t="s">
        <v>4</v>
      </c>
      <c r="C344" t="s">
        <v>19</v>
      </c>
      <c r="D344">
        <v>1377</v>
      </c>
    </row>
    <row r="345" spans="1:4" hidden="1" x14ac:dyDescent="0.2">
      <c r="A345">
        <v>2014</v>
      </c>
      <c r="B345" t="s">
        <v>4</v>
      </c>
      <c r="C345" t="s">
        <v>20</v>
      </c>
      <c r="D345">
        <v>8034</v>
      </c>
    </row>
    <row r="346" spans="1:4" hidden="1" x14ac:dyDescent="0.2">
      <c r="A346">
        <v>2014</v>
      </c>
      <c r="B346" t="s">
        <v>4</v>
      </c>
      <c r="C346" t="s">
        <v>21</v>
      </c>
      <c r="D346">
        <v>2955</v>
      </c>
    </row>
    <row r="347" spans="1:4" hidden="1" x14ac:dyDescent="0.2">
      <c r="A347">
        <v>2014</v>
      </c>
      <c r="B347" t="s">
        <v>4</v>
      </c>
      <c r="C347" t="s">
        <v>22</v>
      </c>
      <c r="D347">
        <v>2352</v>
      </c>
    </row>
    <row r="348" spans="1:4" hidden="1" x14ac:dyDescent="0.2">
      <c r="A348">
        <v>2014</v>
      </c>
      <c r="B348" t="s">
        <v>4</v>
      </c>
      <c r="C348" t="s">
        <v>23</v>
      </c>
      <c r="D348">
        <v>387</v>
      </c>
    </row>
    <row r="349" spans="1:4" hidden="1" x14ac:dyDescent="0.2">
      <c r="A349">
        <v>2014</v>
      </c>
      <c r="B349" t="s">
        <v>4</v>
      </c>
      <c r="C349" t="s">
        <v>24</v>
      </c>
      <c r="D349">
        <v>1377</v>
      </c>
    </row>
    <row r="350" spans="1:4" hidden="1" x14ac:dyDescent="0.2">
      <c r="A350">
        <v>2014</v>
      </c>
      <c r="B350" t="s">
        <v>4</v>
      </c>
      <c r="C350" t="s">
        <v>25</v>
      </c>
      <c r="D350">
        <v>963</v>
      </c>
    </row>
    <row r="351" spans="1:4" hidden="1" x14ac:dyDescent="0.2">
      <c r="A351">
        <v>2014</v>
      </c>
      <c r="B351" t="s">
        <v>4</v>
      </c>
      <c r="C351" t="s">
        <v>26</v>
      </c>
      <c r="D351">
        <v>2064</v>
      </c>
    </row>
    <row r="352" spans="1:4" hidden="1" x14ac:dyDescent="0.2">
      <c r="A352">
        <v>2014</v>
      </c>
      <c r="B352" t="s">
        <v>4</v>
      </c>
      <c r="C352" t="s">
        <v>27</v>
      </c>
      <c r="D352">
        <v>3186</v>
      </c>
    </row>
    <row r="353" spans="1:4" hidden="1" x14ac:dyDescent="0.2">
      <c r="A353">
        <v>2014</v>
      </c>
      <c r="B353" t="s">
        <v>4</v>
      </c>
      <c r="C353" t="s">
        <v>28</v>
      </c>
      <c r="D353">
        <v>339</v>
      </c>
    </row>
    <row r="354" spans="1:4" hidden="1" x14ac:dyDescent="0.2">
      <c r="A354">
        <v>2014</v>
      </c>
      <c r="B354" t="s">
        <v>4</v>
      </c>
      <c r="C354" t="s">
        <v>29</v>
      </c>
      <c r="D354">
        <v>402</v>
      </c>
    </row>
    <row r="355" spans="1:4" hidden="1" x14ac:dyDescent="0.2">
      <c r="A355">
        <v>2014</v>
      </c>
      <c r="B355" t="s">
        <v>4</v>
      </c>
      <c r="C355" t="s">
        <v>30</v>
      </c>
      <c r="D355">
        <v>381</v>
      </c>
    </row>
    <row r="356" spans="1:4" hidden="1" x14ac:dyDescent="0.2">
      <c r="A356">
        <v>2014</v>
      </c>
      <c r="B356" t="s">
        <v>4</v>
      </c>
      <c r="C356" t="s">
        <v>31</v>
      </c>
      <c r="D356">
        <v>279</v>
      </c>
    </row>
    <row r="357" spans="1:4" hidden="1" x14ac:dyDescent="0.2">
      <c r="A357">
        <v>2014</v>
      </c>
      <c r="B357" t="s">
        <v>4</v>
      </c>
      <c r="C357" t="s">
        <v>32</v>
      </c>
      <c r="D357">
        <v>4422</v>
      </c>
    </row>
    <row r="358" spans="1:4" hidden="1" x14ac:dyDescent="0.2">
      <c r="A358">
        <v>2014</v>
      </c>
      <c r="B358" t="s">
        <v>4</v>
      </c>
      <c r="C358" t="s">
        <v>33</v>
      </c>
      <c r="D358">
        <v>1689</v>
      </c>
    </row>
    <row r="359" spans="1:4" hidden="1" x14ac:dyDescent="0.2">
      <c r="A359">
        <v>2014</v>
      </c>
      <c r="B359" t="s">
        <v>4</v>
      </c>
      <c r="C359" t="s">
        <v>34</v>
      </c>
      <c r="D359">
        <v>816</v>
      </c>
    </row>
    <row r="360" spans="1:4" hidden="1" x14ac:dyDescent="0.2">
      <c r="A360">
        <v>2014</v>
      </c>
      <c r="B360" t="s">
        <v>4</v>
      </c>
      <c r="C360" s="1" t="s">
        <v>35</v>
      </c>
      <c r="D360">
        <v>42</v>
      </c>
    </row>
    <row r="361" spans="1:4" hidden="1" x14ac:dyDescent="0.2">
      <c r="A361">
        <v>2014</v>
      </c>
      <c r="B361" t="s">
        <v>4</v>
      </c>
      <c r="C361" t="s">
        <v>36</v>
      </c>
      <c r="D361">
        <v>31062</v>
      </c>
    </row>
    <row r="362" spans="1:4" x14ac:dyDescent="0.2">
      <c r="A362">
        <v>2015</v>
      </c>
      <c r="B362" t="s">
        <v>3</v>
      </c>
      <c r="C362" t="s">
        <v>19</v>
      </c>
      <c r="D362">
        <v>2196</v>
      </c>
    </row>
    <row r="363" spans="1:4" x14ac:dyDescent="0.2">
      <c r="A363">
        <v>2015</v>
      </c>
      <c r="B363" t="s">
        <v>3</v>
      </c>
      <c r="C363" t="s">
        <v>20</v>
      </c>
      <c r="D363">
        <v>22434</v>
      </c>
    </row>
    <row r="364" spans="1:4" x14ac:dyDescent="0.2">
      <c r="A364">
        <v>2015</v>
      </c>
      <c r="B364" t="s">
        <v>3</v>
      </c>
      <c r="C364" t="s">
        <v>21</v>
      </c>
      <c r="D364">
        <v>6234</v>
      </c>
    </row>
    <row r="365" spans="1:4" x14ac:dyDescent="0.2">
      <c r="A365">
        <v>2015</v>
      </c>
      <c r="B365" t="s">
        <v>3</v>
      </c>
      <c r="C365" t="s">
        <v>22</v>
      </c>
      <c r="D365">
        <v>3879</v>
      </c>
    </row>
    <row r="366" spans="1:4" x14ac:dyDescent="0.2">
      <c r="A366">
        <v>2015</v>
      </c>
      <c r="B366" t="s">
        <v>3</v>
      </c>
      <c r="C366" t="s">
        <v>23</v>
      </c>
      <c r="D366">
        <v>717</v>
      </c>
    </row>
    <row r="367" spans="1:4" x14ac:dyDescent="0.2">
      <c r="A367">
        <v>2015</v>
      </c>
      <c r="B367" t="s">
        <v>3</v>
      </c>
      <c r="C367" t="s">
        <v>24</v>
      </c>
      <c r="D367">
        <v>2145</v>
      </c>
    </row>
    <row r="368" spans="1:4" x14ac:dyDescent="0.2">
      <c r="A368">
        <v>2015</v>
      </c>
      <c r="B368" t="s">
        <v>3</v>
      </c>
      <c r="C368" t="s">
        <v>25</v>
      </c>
      <c r="D368">
        <v>1611</v>
      </c>
    </row>
    <row r="369" spans="1:4" x14ac:dyDescent="0.2">
      <c r="A369">
        <v>2015</v>
      </c>
      <c r="B369" t="s">
        <v>3</v>
      </c>
      <c r="C369" t="s">
        <v>26</v>
      </c>
      <c r="D369">
        <v>3072</v>
      </c>
    </row>
    <row r="370" spans="1:4" x14ac:dyDescent="0.2">
      <c r="A370">
        <v>2015</v>
      </c>
      <c r="B370" t="s">
        <v>3</v>
      </c>
      <c r="C370" t="s">
        <v>27</v>
      </c>
      <c r="D370">
        <v>6231</v>
      </c>
    </row>
    <row r="371" spans="1:4" x14ac:dyDescent="0.2">
      <c r="A371">
        <v>2015</v>
      </c>
      <c r="B371" t="s">
        <v>3</v>
      </c>
      <c r="C371" t="s">
        <v>28</v>
      </c>
      <c r="D371">
        <v>447</v>
      </c>
    </row>
    <row r="372" spans="1:4" x14ac:dyDescent="0.2">
      <c r="A372">
        <v>2015</v>
      </c>
      <c r="B372" t="s">
        <v>3</v>
      </c>
      <c r="C372" t="s">
        <v>29</v>
      </c>
      <c r="D372">
        <v>534</v>
      </c>
    </row>
    <row r="373" spans="1:4" x14ac:dyDescent="0.2">
      <c r="A373">
        <v>2015</v>
      </c>
      <c r="B373" t="s">
        <v>3</v>
      </c>
      <c r="C373" t="s">
        <v>30</v>
      </c>
      <c r="D373">
        <v>489</v>
      </c>
    </row>
    <row r="374" spans="1:4" x14ac:dyDescent="0.2">
      <c r="A374">
        <v>2015</v>
      </c>
      <c r="B374" t="s">
        <v>3</v>
      </c>
      <c r="C374" t="s">
        <v>31</v>
      </c>
      <c r="D374">
        <v>381</v>
      </c>
    </row>
    <row r="375" spans="1:4" x14ac:dyDescent="0.2">
      <c r="A375">
        <v>2015</v>
      </c>
      <c r="B375" t="s">
        <v>3</v>
      </c>
      <c r="C375" t="s">
        <v>32</v>
      </c>
      <c r="D375">
        <v>7077</v>
      </c>
    </row>
    <row r="376" spans="1:4" x14ac:dyDescent="0.2">
      <c r="A376">
        <v>2015</v>
      </c>
      <c r="B376" t="s">
        <v>3</v>
      </c>
      <c r="C376" t="s">
        <v>33</v>
      </c>
      <c r="D376">
        <v>2358</v>
      </c>
    </row>
    <row r="377" spans="1:4" x14ac:dyDescent="0.2">
      <c r="A377">
        <v>2015</v>
      </c>
      <c r="B377" t="s">
        <v>3</v>
      </c>
      <c r="C377" t="s">
        <v>34</v>
      </c>
      <c r="D377">
        <v>1224</v>
      </c>
    </row>
    <row r="378" spans="1:4" hidden="1" x14ac:dyDescent="0.2">
      <c r="A378">
        <v>2015</v>
      </c>
      <c r="B378" t="s">
        <v>3</v>
      </c>
      <c r="C378" s="1" t="s">
        <v>35</v>
      </c>
      <c r="D378">
        <v>12</v>
      </c>
    </row>
    <row r="379" spans="1:4" hidden="1" x14ac:dyDescent="0.2">
      <c r="A379">
        <v>2015</v>
      </c>
      <c r="B379" t="s">
        <v>3</v>
      </c>
      <c r="C379" t="s">
        <v>36</v>
      </c>
      <c r="D379">
        <v>61038</v>
      </c>
    </row>
    <row r="380" spans="1:4" hidden="1" x14ac:dyDescent="0.2">
      <c r="A380">
        <v>2015</v>
      </c>
      <c r="B380" t="s">
        <v>4</v>
      </c>
      <c r="C380" t="s">
        <v>19</v>
      </c>
      <c r="D380">
        <v>1443</v>
      </c>
    </row>
    <row r="381" spans="1:4" hidden="1" x14ac:dyDescent="0.2">
      <c r="A381">
        <v>2015</v>
      </c>
      <c r="B381" t="s">
        <v>4</v>
      </c>
      <c r="C381" t="s">
        <v>20</v>
      </c>
      <c r="D381">
        <v>8175</v>
      </c>
    </row>
    <row r="382" spans="1:4" hidden="1" x14ac:dyDescent="0.2">
      <c r="A382">
        <v>2015</v>
      </c>
      <c r="B382" t="s">
        <v>4</v>
      </c>
      <c r="C382" t="s">
        <v>21</v>
      </c>
      <c r="D382">
        <v>3105</v>
      </c>
    </row>
    <row r="383" spans="1:4" hidden="1" x14ac:dyDescent="0.2">
      <c r="A383">
        <v>2015</v>
      </c>
      <c r="B383" t="s">
        <v>4</v>
      </c>
      <c r="C383" t="s">
        <v>22</v>
      </c>
      <c r="D383">
        <v>2517</v>
      </c>
    </row>
    <row r="384" spans="1:4" hidden="1" x14ac:dyDescent="0.2">
      <c r="A384">
        <v>2015</v>
      </c>
      <c r="B384" t="s">
        <v>4</v>
      </c>
      <c r="C384" t="s">
        <v>23</v>
      </c>
      <c r="D384">
        <v>351</v>
      </c>
    </row>
    <row r="385" spans="1:4" hidden="1" x14ac:dyDescent="0.2">
      <c r="A385">
        <v>2015</v>
      </c>
      <c r="B385" t="s">
        <v>4</v>
      </c>
      <c r="C385" t="s">
        <v>24</v>
      </c>
      <c r="D385">
        <v>1467</v>
      </c>
    </row>
    <row r="386" spans="1:4" hidden="1" x14ac:dyDescent="0.2">
      <c r="A386">
        <v>2015</v>
      </c>
      <c r="B386" t="s">
        <v>4</v>
      </c>
      <c r="C386" t="s">
        <v>25</v>
      </c>
      <c r="D386">
        <v>1008</v>
      </c>
    </row>
    <row r="387" spans="1:4" hidden="1" x14ac:dyDescent="0.2">
      <c r="A387">
        <v>2015</v>
      </c>
      <c r="B387" t="s">
        <v>4</v>
      </c>
      <c r="C387" t="s">
        <v>26</v>
      </c>
      <c r="D387">
        <v>2016</v>
      </c>
    </row>
    <row r="388" spans="1:4" hidden="1" x14ac:dyDescent="0.2">
      <c r="A388">
        <v>2015</v>
      </c>
      <c r="B388" t="s">
        <v>4</v>
      </c>
      <c r="C388" t="s">
        <v>27</v>
      </c>
      <c r="D388">
        <v>3150</v>
      </c>
    </row>
    <row r="389" spans="1:4" hidden="1" x14ac:dyDescent="0.2">
      <c r="A389">
        <v>2015</v>
      </c>
      <c r="B389" t="s">
        <v>4</v>
      </c>
      <c r="C389" t="s">
        <v>28</v>
      </c>
      <c r="D389">
        <v>375</v>
      </c>
    </row>
    <row r="390" spans="1:4" hidden="1" x14ac:dyDescent="0.2">
      <c r="A390">
        <v>2015</v>
      </c>
      <c r="B390" t="s">
        <v>4</v>
      </c>
      <c r="C390" t="s">
        <v>29</v>
      </c>
      <c r="D390">
        <v>447</v>
      </c>
    </row>
    <row r="391" spans="1:4" hidden="1" x14ac:dyDescent="0.2">
      <c r="A391">
        <v>2015</v>
      </c>
      <c r="B391" t="s">
        <v>4</v>
      </c>
      <c r="C391" t="s">
        <v>30</v>
      </c>
      <c r="D391">
        <v>411</v>
      </c>
    </row>
    <row r="392" spans="1:4" hidden="1" x14ac:dyDescent="0.2">
      <c r="A392">
        <v>2015</v>
      </c>
      <c r="B392" t="s">
        <v>4</v>
      </c>
      <c r="C392" t="s">
        <v>31</v>
      </c>
      <c r="D392">
        <v>294</v>
      </c>
    </row>
    <row r="393" spans="1:4" hidden="1" x14ac:dyDescent="0.2">
      <c r="A393">
        <v>2015</v>
      </c>
      <c r="B393" t="s">
        <v>4</v>
      </c>
      <c r="C393" t="s">
        <v>32</v>
      </c>
      <c r="D393">
        <v>4305</v>
      </c>
    </row>
    <row r="394" spans="1:4" hidden="1" x14ac:dyDescent="0.2">
      <c r="A394">
        <v>2015</v>
      </c>
      <c r="B394" t="s">
        <v>4</v>
      </c>
      <c r="C394" t="s">
        <v>33</v>
      </c>
      <c r="D394">
        <v>1641</v>
      </c>
    </row>
    <row r="395" spans="1:4" hidden="1" x14ac:dyDescent="0.2">
      <c r="A395">
        <v>2015</v>
      </c>
      <c r="B395" t="s">
        <v>4</v>
      </c>
      <c r="C395" t="s">
        <v>34</v>
      </c>
      <c r="D395">
        <v>879</v>
      </c>
    </row>
    <row r="396" spans="1:4" hidden="1" x14ac:dyDescent="0.2">
      <c r="A396">
        <v>2015</v>
      </c>
      <c r="B396" t="s">
        <v>4</v>
      </c>
      <c r="C396" s="1" t="s">
        <v>35</v>
      </c>
      <c r="D396">
        <v>24</v>
      </c>
    </row>
    <row r="397" spans="1:4" hidden="1" x14ac:dyDescent="0.2">
      <c r="A397">
        <v>2015</v>
      </c>
      <c r="B397" t="s">
        <v>4</v>
      </c>
      <c r="C397" t="s">
        <v>36</v>
      </c>
      <c r="D397">
        <v>31608</v>
      </c>
    </row>
    <row r="398" spans="1:4" x14ac:dyDescent="0.2">
      <c r="A398">
        <v>2016</v>
      </c>
      <c r="B398" t="s">
        <v>3</v>
      </c>
      <c r="C398" t="s">
        <v>19</v>
      </c>
      <c r="D398">
        <v>2229</v>
      </c>
    </row>
    <row r="399" spans="1:4" x14ac:dyDescent="0.2">
      <c r="A399">
        <v>2016</v>
      </c>
      <c r="B399" t="s">
        <v>3</v>
      </c>
      <c r="C399" t="s">
        <v>20</v>
      </c>
      <c r="D399">
        <v>21810</v>
      </c>
    </row>
    <row r="400" spans="1:4" x14ac:dyDescent="0.2">
      <c r="A400">
        <v>2016</v>
      </c>
      <c r="B400" t="s">
        <v>3</v>
      </c>
      <c r="C400" t="s">
        <v>21</v>
      </c>
      <c r="D400">
        <v>6066</v>
      </c>
    </row>
    <row r="401" spans="1:4" x14ac:dyDescent="0.2">
      <c r="A401">
        <v>2016</v>
      </c>
      <c r="B401" t="s">
        <v>3</v>
      </c>
      <c r="C401" t="s">
        <v>22</v>
      </c>
      <c r="D401">
        <v>3864</v>
      </c>
    </row>
    <row r="402" spans="1:4" x14ac:dyDescent="0.2">
      <c r="A402">
        <v>2016</v>
      </c>
      <c r="B402" t="s">
        <v>3</v>
      </c>
      <c r="C402" t="s">
        <v>23</v>
      </c>
      <c r="D402">
        <v>738</v>
      </c>
    </row>
    <row r="403" spans="1:4" x14ac:dyDescent="0.2">
      <c r="A403">
        <v>2016</v>
      </c>
      <c r="B403" t="s">
        <v>3</v>
      </c>
      <c r="C403" t="s">
        <v>24</v>
      </c>
      <c r="D403">
        <v>2058</v>
      </c>
    </row>
    <row r="404" spans="1:4" x14ac:dyDescent="0.2">
      <c r="A404">
        <v>2016</v>
      </c>
      <c r="B404" t="s">
        <v>3</v>
      </c>
      <c r="C404" t="s">
        <v>25</v>
      </c>
      <c r="D404">
        <v>1473</v>
      </c>
    </row>
    <row r="405" spans="1:4" x14ac:dyDescent="0.2">
      <c r="A405">
        <v>2016</v>
      </c>
      <c r="B405" t="s">
        <v>3</v>
      </c>
      <c r="C405" t="s">
        <v>26</v>
      </c>
      <c r="D405">
        <v>2928</v>
      </c>
    </row>
    <row r="406" spans="1:4" x14ac:dyDescent="0.2">
      <c r="A406">
        <v>2016</v>
      </c>
      <c r="B406" t="s">
        <v>3</v>
      </c>
      <c r="C406" t="s">
        <v>27</v>
      </c>
      <c r="D406">
        <v>6015</v>
      </c>
    </row>
    <row r="407" spans="1:4" x14ac:dyDescent="0.2">
      <c r="A407">
        <v>2016</v>
      </c>
      <c r="B407" t="s">
        <v>3</v>
      </c>
      <c r="C407" t="s">
        <v>28</v>
      </c>
      <c r="D407">
        <v>453</v>
      </c>
    </row>
    <row r="408" spans="1:4" x14ac:dyDescent="0.2">
      <c r="A408">
        <v>2016</v>
      </c>
      <c r="B408" t="s">
        <v>3</v>
      </c>
      <c r="C408" t="s">
        <v>29</v>
      </c>
      <c r="D408">
        <v>540</v>
      </c>
    </row>
    <row r="409" spans="1:4" x14ac:dyDescent="0.2">
      <c r="A409">
        <v>2016</v>
      </c>
      <c r="B409" t="s">
        <v>3</v>
      </c>
      <c r="C409" t="s">
        <v>30</v>
      </c>
      <c r="D409">
        <v>534</v>
      </c>
    </row>
    <row r="410" spans="1:4" x14ac:dyDescent="0.2">
      <c r="A410">
        <v>2016</v>
      </c>
      <c r="B410" t="s">
        <v>3</v>
      </c>
      <c r="C410" t="s">
        <v>31</v>
      </c>
      <c r="D410">
        <v>324</v>
      </c>
    </row>
    <row r="411" spans="1:4" x14ac:dyDescent="0.2">
      <c r="A411">
        <v>2016</v>
      </c>
      <c r="B411" t="s">
        <v>3</v>
      </c>
      <c r="C411" t="s">
        <v>32</v>
      </c>
      <c r="D411">
        <v>7014</v>
      </c>
    </row>
    <row r="412" spans="1:4" x14ac:dyDescent="0.2">
      <c r="A412">
        <v>2016</v>
      </c>
      <c r="B412" t="s">
        <v>3</v>
      </c>
      <c r="C412" t="s">
        <v>33</v>
      </c>
      <c r="D412">
        <v>2199</v>
      </c>
    </row>
    <row r="413" spans="1:4" x14ac:dyDescent="0.2">
      <c r="A413">
        <v>2016</v>
      </c>
      <c r="B413" t="s">
        <v>3</v>
      </c>
      <c r="C413" t="s">
        <v>34</v>
      </c>
      <c r="D413">
        <v>1161</v>
      </c>
    </row>
    <row r="414" spans="1:4" hidden="1" x14ac:dyDescent="0.2">
      <c r="A414">
        <v>2016</v>
      </c>
      <c r="B414" t="s">
        <v>3</v>
      </c>
      <c r="C414" s="1" t="s">
        <v>35</v>
      </c>
      <c r="D414">
        <v>15</v>
      </c>
    </row>
    <row r="415" spans="1:4" hidden="1" x14ac:dyDescent="0.2">
      <c r="A415">
        <v>2016</v>
      </c>
      <c r="B415" t="s">
        <v>3</v>
      </c>
      <c r="C415" t="s">
        <v>36</v>
      </c>
      <c r="D415">
        <v>59427</v>
      </c>
    </row>
    <row r="416" spans="1:4" hidden="1" x14ac:dyDescent="0.2">
      <c r="A416">
        <v>2016</v>
      </c>
      <c r="B416" t="s">
        <v>4</v>
      </c>
      <c r="C416" t="s">
        <v>19</v>
      </c>
      <c r="D416">
        <v>1563</v>
      </c>
    </row>
    <row r="417" spans="1:4" hidden="1" x14ac:dyDescent="0.2">
      <c r="A417">
        <v>2016</v>
      </c>
      <c r="B417" t="s">
        <v>4</v>
      </c>
      <c r="C417" t="s">
        <v>20</v>
      </c>
      <c r="D417">
        <v>8007</v>
      </c>
    </row>
    <row r="418" spans="1:4" hidden="1" x14ac:dyDescent="0.2">
      <c r="A418">
        <v>2016</v>
      </c>
      <c r="B418" t="s">
        <v>4</v>
      </c>
      <c r="C418" t="s">
        <v>21</v>
      </c>
      <c r="D418">
        <v>3066</v>
      </c>
    </row>
    <row r="419" spans="1:4" hidden="1" x14ac:dyDescent="0.2">
      <c r="A419">
        <v>2016</v>
      </c>
      <c r="B419" t="s">
        <v>4</v>
      </c>
      <c r="C419" t="s">
        <v>22</v>
      </c>
      <c r="D419">
        <v>2403</v>
      </c>
    </row>
    <row r="420" spans="1:4" hidden="1" x14ac:dyDescent="0.2">
      <c r="A420">
        <v>2016</v>
      </c>
      <c r="B420" t="s">
        <v>4</v>
      </c>
      <c r="C420" t="s">
        <v>23</v>
      </c>
      <c r="D420">
        <v>378</v>
      </c>
    </row>
    <row r="421" spans="1:4" hidden="1" x14ac:dyDescent="0.2">
      <c r="A421">
        <v>2016</v>
      </c>
      <c r="B421" t="s">
        <v>4</v>
      </c>
      <c r="C421" t="s">
        <v>24</v>
      </c>
      <c r="D421">
        <v>1368</v>
      </c>
    </row>
    <row r="422" spans="1:4" hidden="1" x14ac:dyDescent="0.2">
      <c r="A422">
        <v>2016</v>
      </c>
      <c r="B422" t="s">
        <v>4</v>
      </c>
      <c r="C422" t="s">
        <v>25</v>
      </c>
      <c r="D422">
        <v>981</v>
      </c>
    </row>
    <row r="423" spans="1:4" hidden="1" x14ac:dyDescent="0.2">
      <c r="A423">
        <v>2016</v>
      </c>
      <c r="B423" t="s">
        <v>4</v>
      </c>
      <c r="C423" t="s">
        <v>26</v>
      </c>
      <c r="D423">
        <v>2082</v>
      </c>
    </row>
    <row r="424" spans="1:4" hidden="1" x14ac:dyDescent="0.2">
      <c r="A424">
        <v>2016</v>
      </c>
      <c r="B424" t="s">
        <v>4</v>
      </c>
      <c r="C424" t="s">
        <v>27</v>
      </c>
      <c r="D424">
        <v>3237</v>
      </c>
    </row>
    <row r="425" spans="1:4" hidden="1" x14ac:dyDescent="0.2">
      <c r="A425">
        <v>2016</v>
      </c>
      <c r="B425" t="s">
        <v>4</v>
      </c>
      <c r="C425" t="s">
        <v>28</v>
      </c>
      <c r="D425">
        <v>384</v>
      </c>
    </row>
    <row r="426" spans="1:4" hidden="1" x14ac:dyDescent="0.2">
      <c r="A426">
        <v>2016</v>
      </c>
      <c r="B426" t="s">
        <v>4</v>
      </c>
      <c r="C426" t="s">
        <v>29</v>
      </c>
      <c r="D426">
        <v>447</v>
      </c>
    </row>
    <row r="427" spans="1:4" hidden="1" x14ac:dyDescent="0.2">
      <c r="A427">
        <v>2016</v>
      </c>
      <c r="B427" t="s">
        <v>4</v>
      </c>
      <c r="C427" t="s">
        <v>30</v>
      </c>
      <c r="D427">
        <v>426</v>
      </c>
    </row>
    <row r="428" spans="1:4" hidden="1" x14ac:dyDescent="0.2">
      <c r="A428">
        <v>2016</v>
      </c>
      <c r="B428" t="s">
        <v>4</v>
      </c>
      <c r="C428" t="s">
        <v>31</v>
      </c>
      <c r="D428">
        <v>267</v>
      </c>
    </row>
    <row r="429" spans="1:4" hidden="1" x14ac:dyDescent="0.2">
      <c r="A429">
        <v>2016</v>
      </c>
      <c r="B429" t="s">
        <v>4</v>
      </c>
      <c r="C429" t="s">
        <v>32</v>
      </c>
      <c r="D429">
        <v>4158</v>
      </c>
    </row>
    <row r="430" spans="1:4" hidden="1" x14ac:dyDescent="0.2">
      <c r="A430">
        <v>2016</v>
      </c>
      <c r="B430" t="s">
        <v>4</v>
      </c>
      <c r="C430" t="s">
        <v>33</v>
      </c>
      <c r="D430">
        <v>1536</v>
      </c>
    </row>
    <row r="431" spans="1:4" hidden="1" x14ac:dyDescent="0.2">
      <c r="A431">
        <v>2016</v>
      </c>
      <c r="B431" t="s">
        <v>4</v>
      </c>
      <c r="C431" t="s">
        <v>34</v>
      </c>
      <c r="D431">
        <v>855</v>
      </c>
    </row>
    <row r="432" spans="1:4" hidden="1" x14ac:dyDescent="0.2">
      <c r="A432">
        <v>2016</v>
      </c>
      <c r="B432" t="s">
        <v>4</v>
      </c>
      <c r="C432" s="1" t="s">
        <v>35</v>
      </c>
      <c r="D432">
        <v>24</v>
      </c>
    </row>
    <row r="433" spans="1:4" hidden="1" x14ac:dyDescent="0.2">
      <c r="A433">
        <v>2016</v>
      </c>
      <c r="B433" t="s">
        <v>4</v>
      </c>
      <c r="C433" t="s">
        <v>36</v>
      </c>
      <c r="D433">
        <v>31179</v>
      </c>
    </row>
    <row r="434" spans="1:4" x14ac:dyDescent="0.2">
      <c r="A434">
        <v>2017</v>
      </c>
      <c r="B434" t="s">
        <v>3</v>
      </c>
      <c r="C434" t="s">
        <v>19</v>
      </c>
      <c r="D434">
        <v>2247</v>
      </c>
    </row>
    <row r="435" spans="1:4" x14ac:dyDescent="0.2">
      <c r="A435">
        <v>2017</v>
      </c>
      <c r="B435" t="s">
        <v>3</v>
      </c>
      <c r="C435" t="s">
        <v>20</v>
      </c>
      <c r="D435">
        <v>21393</v>
      </c>
    </row>
    <row r="436" spans="1:4" x14ac:dyDescent="0.2">
      <c r="A436">
        <v>2017</v>
      </c>
      <c r="B436" t="s">
        <v>3</v>
      </c>
      <c r="C436" t="s">
        <v>21</v>
      </c>
      <c r="D436">
        <v>6204</v>
      </c>
    </row>
    <row r="437" spans="1:4" x14ac:dyDescent="0.2">
      <c r="A437">
        <v>2017</v>
      </c>
      <c r="B437" t="s">
        <v>3</v>
      </c>
      <c r="C437" t="s">
        <v>22</v>
      </c>
      <c r="D437">
        <v>4086</v>
      </c>
    </row>
    <row r="438" spans="1:4" x14ac:dyDescent="0.2">
      <c r="A438">
        <v>2017</v>
      </c>
      <c r="B438" t="s">
        <v>3</v>
      </c>
      <c r="C438" t="s">
        <v>23</v>
      </c>
      <c r="D438">
        <v>705</v>
      </c>
    </row>
    <row r="439" spans="1:4" x14ac:dyDescent="0.2">
      <c r="A439">
        <v>2017</v>
      </c>
      <c r="B439" t="s">
        <v>3</v>
      </c>
      <c r="C439" t="s">
        <v>24</v>
      </c>
      <c r="D439">
        <v>2127</v>
      </c>
    </row>
    <row r="440" spans="1:4" x14ac:dyDescent="0.2">
      <c r="A440">
        <v>2017</v>
      </c>
      <c r="B440" t="s">
        <v>3</v>
      </c>
      <c r="C440" t="s">
        <v>25</v>
      </c>
      <c r="D440">
        <v>1389</v>
      </c>
    </row>
    <row r="441" spans="1:4" x14ac:dyDescent="0.2">
      <c r="A441">
        <v>2017</v>
      </c>
      <c r="B441" t="s">
        <v>3</v>
      </c>
      <c r="C441" t="s">
        <v>26</v>
      </c>
      <c r="D441">
        <v>3045</v>
      </c>
    </row>
    <row r="442" spans="1:4" x14ac:dyDescent="0.2">
      <c r="A442">
        <v>2017</v>
      </c>
      <c r="B442" t="s">
        <v>3</v>
      </c>
      <c r="C442" t="s">
        <v>27</v>
      </c>
      <c r="D442">
        <v>6057</v>
      </c>
    </row>
    <row r="443" spans="1:4" x14ac:dyDescent="0.2">
      <c r="A443">
        <v>2017</v>
      </c>
      <c r="B443" t="s">
        <v>3</v>
      </c>
      <c r="C443" t="s">
        <v>28</v>
      </c>
      <c r="D443">
        <v>459</v>
      </c>
    </row>
    <row r="444" spans="1:4" x14ac:dyDescent="0.2">
      <c r="A444">
        <v>2017</v>
      </c>
      <c r="B444" t="s">
        <v>3</v>
      </c>
      <c r="C444" t="s">
        <v>29</v>
      </c>
      <c r="D444">
        <v>504</v>
      </c>
    </row>
    <row r="445" spans="1:4" x14ac:dyDescent="0.2">
      <c r="A445">
        <v>2017</v>
      </c>
      <c r="B445" t="s">
        <v>3</v>
      </c>
      <c r="C445" t="s">
        <v>30</v>
      </c>
      <c r="D445">
        <v>495</v>
      </c>
    </row>
    <row r="446" spans="1:4" x14ac:dyDescent="0.2">
      <c r="A446">
        <v>2017</v>
      </c>
      <c r="B446" t="s">
        <v>3</v>
      </c>
      <c r="C446" t="s">
        <v>31</v>
      </c>
      <c r="D446">
        <v>363</v>
      </c>
    </row>
    <row r="447" spans="1:4" x14ac:dyDescent="0.2">
      <c r="A447">
        <v>2017</v>
      </c>
      <c r="B447" t="s">
        <v>3</v>
      </c>
      <c r="C447" t="s">
        <v>32</v>
      </c>
      <c r="D447">
        <v>7065</v>
      </c>
    </row>
    <row r="448" spans="1:4" x14ac:dyDescent="0.2">
      <c r="A448">
        <v>2017</v>
      </c>
      <c r="B448" t="s">
        <v>3</v>
      </c>
      <c r="C448" t="s">
        <v>33</v>
      </c>
      <c r="D448">
        <v>2241</v>
      </c>
    </row>
    <row r="449" spans="1:4" x14ac:dyDescent="0.2">
      <c r="A449">
        <v>2017</v>
      </c>
      <c r="B449" t="s">
        <v>3</v>
      </c>
      <c r="C449" t="s">
        <v>34</v>
      </c>
      <c r="D449">
        <v>1215</v>
      </c>
    </row>
    <row r="450" spans="1:4" hidden="1" x14ac:dyDescent="0.2">
      <c r="A450">
        <v>2017</v>
      </c>
      <c r="B450" t="s">
        <v>3</v>
      </c>
      <c r="C450" s="1" t="s">
        <v>35</v>
      </c>
      <c r="D450">
        <v>15</v>
      </c>
    </row>
    <row r="451" spans="1:4" hidden="1" x14ac:dyDescent="0.2">
      <c r="A451">
        <v>2017</v>
      </c>
      <c r="B451" t="s">
        <v>3</v>
      </c>
      <c r="C451" t="s">
        <v>36</v>
      </c>
      <c r="D451">
        <v>59610</v>
      </c>
    </row>
    <row r="452" spans="1:4" hidden="1" x14ac:dyDescent="0.2">
      <c r="A452">
        <v>2017</v>
      </c>
      <c r="B452" t="s">
        <v>4</v>
      </c>
      <c r="C452" t="s">
        <v>19</v>
      </c>
      <c r="D452">
        <v>1611</v>
      </c>
    </row>
    <row r="453" spans="1:4" hidden="1" x14ac:dyDescent="0.2">
      <c r="A453">
        <v>2017</v>
      </c>
      <c r="B453" t="s">
        <v>4</v>
      </c>
      <c r="C453" t="s">
        <v>20</v>
      </c>
      <c r="D453">
        <v>8577</v>
      </c>
    </row>
    <row r="454" spans="1:4" hidden="1" x14ac:dyDescent="0.2">
      <c r="A454">
        <v>2017</v>
      </c>
      <c r="B454" t="s">
        <v>4</v>
      </c>
      <c r="C454" t="s">
        <v>21</v>
      </c>
      <c r="D454">
        <v>3378</v>
      </c>
    </row>
    <row r="455" spans="1:4" hidden="1" x14ac:dyDescent="0.2">
      <c r="A455">
        <v>2017</v>
      </c>
      <c r="B455" t="s">
        <v>4</v>
      </c>
      <c r="C455" t="s">
        <v>22</v>
      </c>
      <c r="D455">
        <v>2676</v>
      </c>
    </row>
    <row r="456" spans="1:4" hidden="1" x14ac:dyDescent="0.2">
      <c r="A456">
        <v>2017</v>
      </c>
      <c r="B456" t="s">
        <v>4</v>
      </c>
      <c r="C456" t="s">
        <v>23</v>
      </c>
      <c r="D456">
        <v>432</v>
      </c>
    </row>
    <row r="457" spans="1:4" hidden="1" x14ac:dyDescent="0.2">
      <c r="A457">
        <v>2017</v>
      </c>
      <c r="B457" t="s">
        <v>4</v>
      </c>
      <c r="C457" t="s">
        <v>24</v>
      </c>
      <c r="D457">
        <v>1527</v>
      </c>
    </row>
    <row r="458" spans="1:4" hidden="1" x14ac:dyDescent="0.2">
      <c r="A458">
        <v>2017</v>
      </c>
      <c r="B458" t="s">
        <v>4</v>
      </c>
      <c r="C458" t="s">
        <v>25</v>
      </c>
      <c r="D458">
        <v>1017</v>
      </c>
    </row>
    <row r="459" spans="1:4" hidden="1" x14ac:dyDescent="0.2">
      <c r="A459">
        <v>2017</v>
      </c>
      <c r="B459" t="s">
        <v>4</v>
      </c>
      <c r="C459" t="s">
        <v>26</v>
      </c>
      <c r="D459">
        <v>2262</v>
      </c>
    </row>
    <row r="460" spans="1:4" hidden="1" x14ac:dyDescent="0.2">
      <c r="A460">
        <v>2017</v>
      </c>
      <c r="B460" t="s">
        <v>4</v>
      </c>
      <c r="C460" t="s">
        <v>27</v>
      </c>
      <c r="D460">
        <v>3300</v>
      </c>
    </row>
    <row r="461" spans="1:4" hidden="1" x14ac:dyDescent="0.2">
      <c r="A461">
        <v>2017</v>
      </c>
      <c r="B461" t="s">
        <v>4</v>
      </c>
      <c r="C461" t="s">
        <v>28</v>
      </c>
      <c r="D461">
        <v>372</v>
      </c>
    </row>
    <row r="462" spans="1:4" hidden="1" x14ac:dyDescent="0.2">
      <c r="A462">
        <v>2017</v>
      </c>
      <c r="B462" t="s">
        <v>4</v>
      </c>
      <c r="C462" t="s">
        <v>29</v>
      </c>
      <c r="D462">
        <v>468</v>
      </c>
    </row>
    <row r="463" spans="1:4" hidden="1" x14ac:dyDescent="0.2">
      <c r="A463">
        <v>2017</v>
      </c>
      <c r="B463" t="s">
        <v>4</v>
      </c>
      <c r="C463" t="s">
        <v>30</v>
      </c>
      <c r="D463">
        <v>405</v>
      </c>
    </row>
    <row r="464" spans="1:4" hidden="1" x14ac:dyDescent="0.2">
      <c r="A464">
        <v>2017</v>
      </c>
      <c r="B464" t="s">
        <v>4</v>
      </c>
      <c r="C464" t="s">
        <v>31</v>
      </c>
      <c r="D464">
        <v>309</v>
      </c>
    </row>
    <row r="465" spans="1:4" hidden="1" x14ac:dyDescent="0.2">
      <c r="A465">
        <v>2017</v>
      </c>
      <c r="B465" t="s">
        <v>4</v>
      </c>
      <c r="C465" t="s">
        <v>32</v>
      </c>
      <c r="D465">
        <v>4494</v>
      </c>
    </row>
    <row r="466" spans="1:4" hidden="1" x14ac:dyDescent="0.2">
      <c r="A466">
        <v>2017</v>
      </c>
      <c r="B466" t="s">
        <v>4</v>
      </c>
      <c r="C466" t="s">
        <v>33</v>
      </c>
      <c r="D466">
        <v>1647</v>
      </c>
    </row>
    <row r="467" spans="1:4" hidden="1" x14ac:dyDescent="0.2">
      <c r="A467">
        <v>2017</v>
      </c>
      <c r="B467" t="s">
        <v>4</v>
      </c>
      <c r="C467" t="s">
        <v>34</v>
      </c>
      <c r="D467">
        <v>849</v>
      </c>
    </row>
    <row r="468" spans="1:4" hidden="1" x14ac:dyDescent="0.2">
      <c r="A468">
        <v>2017</v>
      </c>
      <c r="B468" t="s">
        <v>4</v>
      </c>
      <c r="C468" s="1" t="s">
        <v>35</v>
      </c>
      <c r="D468">
        <v>21</v>
      </c>
    </row>
    <row r="469" spans="1:4" hidden="1" x14ac:dyDescent="0.2">
      <c r="A469">
        <v>2017</v>
      </c>
      <c r="B469" t="s">
        <v>4</v>
      </c>
      <c r="C469" t="s">
        <v>36</v>
      </c>
      <c r="D469">
        <v>33342</v>
      </c>
    </row>
    <row r="470" spans="1:4" x14ac:dyDescent="0.2">
      <c r="A470">
        <v>2018</v>
      </c>
      <c r="B470" t="s">
        <v>3</v>
      </c>
      <c r="C470" t="s">
        <v>19</v>
      </c>
      <c r="D470">
        <v>2181</v>
      </c>
    </row>
    <row r="471" spans="1:4" x14ac:dyDescent="0.2">
      <c r="A471">
        <v>2018</v>
      </c>
      <c r="B471" t="s">
        <v>3</v>
      </c>
      <c r="C471" t="s">
        <v>20</v>
      </c>
      <c r="D471">
        <v>20712</v>
      </c>
    </row>
    <row r="472" spans="1:4" x14ac:dyDescent="0.2">
      <c r="A472">
        <v>2018</v>
      </c>
      <c r="B472" t="s">
        <v>3</v>
      </c>
      <c r="C472" t="s">
        <v>21</v>
      </c>
      <c r="D472">
        <v>6054</v>
      </c>
    </row>
    <row r="473" spans="1:4" x14ac:dyDescent="0.2">
      <c r="A473">
        <v>2018</v>
      </c>
      <c r="B473" t="s">
        <v>3</v>
      </c>
      <c r="C473" t="s">
        <v>22</v>
      </c>
      <c r="D473">
        <v>3969</v>
      </c>
    </row>
    <row r="474" spans="1:4" x14ac:dyDescent="0.2">
      <c r="A474">
        <v>2018</v>
      </c>
      <c r="B474" t="s">
        <v>3</v>
      </c>
      <c r="C474" t="s">
        <v>23</v>
      </c>
      <c r="D474">
        <v>711</v>
      </c>
    </row>
    <row r="475" spans="1:4" x14ac:dyDescent="0.2">
      <c r="A475">
        <v>2018</v>
      </c>
      <c r="B475" t="s">
        <v>3</v>
      </c>
      <c r="C475" t="s">
        <v>24</v>
      </c>
      <c r="D475">
        <v>2070</v>
      </c>
    </row>
    <row r="476" spans="1:4" x14ac:dyDescent="0.2">
      <c r="A476">
        <v>2018</v>
      </c>
      <c r="B476" t="s">
        <v>3</v>
      </c>
      <c r="C476" t="s">
        <v>25</v>
      </c>
      <c r="D476">
        <v>1548</v>
      </c>
    </row>
    <row r="477" spans="1:4" x14ac:dyDescent="0.2">
      <c r="A477">
        <v>2018</v>
      </c>
      <c r="B477" t="s">
        <v>3</v>
      </c>
      <c r="C477" t="s">
        <v>26</v>
      </c>
      <c r="D477">
        <v>3024</v>
      </c>
    </row>
    <row r="478" spans="1:4" x14ac:dyDescent="0.2">
      <c r="A478">
        <v>2018</v>
      </c>
      <c r="B478" t="s">
        <v>3</v>
      </c>
      <c r="C478" t="s">
        <v>27</v>
      </c>
      <c r="D478">
        <v>5706</v>
      </c>
    </row>
    <row r="479" spans="1:4" x14ac:dyDescent="0.2">
      <c r="A479">
        <v>2018</v>
      </c>
      <c r="B479" t="s">
        <v>3</v>
      </c>
      <c r="C479" t="s">
        <v>28</v>
      </c>
      <c r="D479">
        <v>447</v>
      </c>
    </row>
    <row r="480" spans="1:4" x14ac:dyDescent="0.2">
      <c r="A480">
        <v>2018</v>
      </c>
      <c r="B480" t="s">
        <v>3</v>
      </c>
      <c r="C480" t="s">
        <v>29</v>
      </c>
      <c r="D480">
        <v>540</v>
      </c>
    </row>
    <row r="481" spans="1:4" x14ac:dyDescent="0.2">
      <c r="A481">
        <v>2018</v>
      </c>
      <c r="B481" t="s">
        <v>3</v>
      </c>
      <c r="C481" t="s">
        <v>30</v>
      </c>
      <c r="D481">
        <v>504</v>
      </c>
    </row>
    <row r="482" spans="1:4" x14ac:dyDescent="0.2">
      <c r="A482">
        <v>2018</v>
      </c>
      <c r="B482" t="s">
        <v>3</v>
      </c>
      <c r="C482" t="s">
        <v>31</v>
      </c>
      <c r="D482">
        <v>324</v>
      </c>
    </row>
    <row r="483" spans="1:4" x14ac:dyDescent="0.2">
      <c r="A483">
        <v>2018</v>
      </c>
      <c r="B483" t="s">
        <v>3</v>
      </c>
      <c r="C483" t="s">
        <v>32</v>
      </c>
      <c r="D483">
        <v>6939</v>
      </c>
    </row>
    <row r="484" spans="1:4" x14ac:dyDescent="0.2">
      <c r="A484">
        <v>2018</v>
      </c>
      <c r="B484" t="s">
        <v>3</v>
      </c>
      <c r="C484" t="s">
        <v>33</v>
      </c>
      <c r="D484">
        <v>2148</v>
      </c>
    </row>
    <row r="485" spans="1:4" x14ac:dyDescent="0.2">
      <c r="A485">
        <v>2018</v>
      </c>
      <c r="B485" t="s">
        <v>3</v>
      </c>
      <c r="C485" t="s">
        <v>34</v>
      </c>
      <c r="D485">
        <v>1119</v>
      </c>
    </row>
    <row r="486" spans="1:4" hidden="1" x14ac:dyDescent="0.2">
      <c r="A486">
        <v>2018</v>
      </c>
      <c r="B486" t="s">
        <v>3</v>
      </c>
      <c r="C486" s="1" t="s">
        <v>35</v>
      </c>
      <c r="D486">
        <v>18</v>
      </c>
    </row>
    <row r="487" spans="1:4" hidden="1" x14ac:dyDescent="0.2">
      <c r="A487">
        <v>2018</v>
      </c>
      <c r="B487" t="s">
        <v>3</v>
      </c>
      <c r="C487" t="s">
        <v>36</v>
      </c>
      <c r="D487">
        <v>58020</v>
      </c>
    </row>
    <row r="488" spans="1:4" hidden="1" x14ac:dyDescent="0.2">
      <c r="A488">
        <v>2018</v>
      </c>
      <c r="B488" t="s">
        <v>4</v>
      </c>
      <c r="C488" t="s">
        <v>19</v>
      </c>
      <c r="D488">
        <v>1692</v>
      </c>
    </row>
    <row r="489" spans="1:4" hidden="1" x14ac:dyDescent="0.2">
      <c r="A489">
        <v>2018</v>
      </c>
      <c r="B489" t="s">
        <v>4</v>
      </c>
      <c r="C489" t="s">
        <v>20</v>
      </c>
      <c r="D489">
        <v>8586</v>
      </c>
    </row>
    <row r="490" spans="1:4" hidden="1" x14ac:dyDescent="0.2">
      <c r="A490">
        <v>2018</v>
      </c>
      <c r="B490" t="s">
        <v>4</v>
      </c>
      <c r="C490" t="s">
        <v>21</v>
      </c>
      <c r="D490">
        <v>3420</v>
      </c>
    </row>
    <row r="491" spans="1:4" hidden="1" x14ac:dyDescent="0.2">
      <c r="A491">
        <v>2018</v>
      </c>
      <c r="B491" t="s">
        <v>4</v>
      </c>
      <c r="C491" t="s">
        <v>22</v>
      </c>
      <c r="D491">
        <v>2583</v>
      </c>
    </row>
    <row r="492" spans="1:4" hidden="1" x14ac:dyDescent="0.2">
      <c r="A492">
        <v>2018</v>
      </c>
      <c r="B492" t="s">
        <v>4</v>
      </c>
      <c r="C492" t="s">
        <v>23</v>
      </c>
      <c r="D492">
        <v>429</v>
      </c>
    </row>
    <row r="493" spans="1:4" hidden="1" x14ac:dyDescent="0.2">
      <c r="A493">
        <v>2018</v>
      </c>
      <c r="B493" t="s">
        <v>4</v>
      </c>
      <c r="C493" t="s">
        <v>24</v>
      </c>
      <c r="D493">
        <v>1515</v>
      </c>
    </row>
    <row r="494" spans="1:4" hidden="1" x14ac:dyDescent="0.2">
      <c r="A494">
        <v>2018</v>
      </c>
      <c r="B494" t="s">
        <v>4</v>
      </c>
      <c r="C494" t="s">
        <v>25</v>
      </c>
      <c r="D494">
        <v>1026</v>
      </c>
    </row>
    <row r="495" spans="1:4" hidden="1" x14ac:dyDescent="0.2">
      <c r="A495">
        <v>2018</v>
      </c>
      <c r="B495" t="s">
        <v>4</v>
      </c>
      <c r="C495" t="s">
        <v>26</v>
      </c>
      <c r="D495">
        <v>2190</v>
      </c>
    </row>
    <row r="496" spans="1:4" hidden="1" x14ac:dyDescent="0.2">
      <c r="A496">
        <v>2018</v>
      </c>
      <c r="B496" t="s">
        <v>4</v>
      </c>
      <c r="C496" t="s">
        <v>27</v>
      </c>
      <c r="D496">
        <v>3330</v>
      </c>
    </row>
    <row r="497" spans="1:4" hidden="1" x14ac:dyDescent="0.2">
      <c r="A497">
        <v>2018</v>
      </c>
      <c r="B497" t="s">
        <v>4</v>
      </c>
      <c r="C497" t="s">
        <v>28</v>
      </c>
      <c r="D497">
        <v>402</v>
      </c>
    </row>
    <row r="498" spans="1:4" hidden="1" x14ac:dyDescent="0.2">
      <c r="A498">
        <v>2018</v>
      </c>
      <c r="B498" t="s">
        <v>4</v>
      </c>
      <c r="C498" t="s">
        <v>29</v>
      </c>
      <c r="D498">
        <v>441</v>
      </c>
    </row>
    <row r="499" spans="1:4" hidden="1" x14ac:dyDescent="0.2">
      <c r="A499">
        <v>2018</v>
      </c>
      <c r="B499" t="s">
        <v>4</v>
      </c>
      <c r="C499" t="s">
        <v>30</v>
      </c>
      <c r="D499">
        <v>450</v>
      </c>
    </row>
    <row r="500" spans="1:4" hidden="1" x14ac:dyDescent="0.2">
      <c r="A500">
        <v>2018</v>
      </c>
      <c r="B500" t="s">
        <v>4</v>
      </c>
      <c r="C500" t="s">
        <v>31</v>
      </c>
      <c r="D500">
        <v>291</v>
      </c>
    </row>
    <row r="501" spans="1:4" hidden="1" x14ac:dyDescent="0.2">
      <c r="A501">
        <v>2018</v>
      </c>
      <c r="B501" t="s">
        <v>4</v>
      </c>
      <c r="C501" t="s">
        <v>32</v>
      </c>
      <c r="D501">
        <v>4431</v>
      </c>
    </row>
    <row r="502" spans="1:4" hidden="1" x14ac:dyDescent="0.2">
      <c r="A502">
        <v>2018</v>
      </c>
      <c r="B502" t="s">
        <v>4</v>
      </c>
      <c r="C502" t="s">
        <v>33</v>
      </c>
      <c r="D502">
        <v>1626</v>
      </c>
    </row>
    <row r="503" spans="1:4" hidden="1" x14ac:dyDescent="0.2">
      <c r="A503">
        <v>2018</v>
      </c>
      <c r="B503" t="s">
        <v>4</v>
      </c>
      <c r="C503" t="s">
        <v>34</v>
      </c>
      <c r="D503">
        <v>804</v>
      </c>
    </row>
    <row r="504" spans="1:4" hidden="1" x14ac:dyDescent="0.2">
      <c r="A504">
        <v>2018</v>
      </c>
      <c r="B504" t="s">
        <v>4</v>
      </c>
      <c r="C504" s="1" t="s">
        <v>35</v>
      </c>
      <c r="D504">
        <v>15</v>
      </c>
    </row>
    <row r="505" spans="1:4" hidden="1" x14ac:dyDescent="0.2">
      <c r="A505">
        <v>2018</v>
      </c>
      <c r="B505" t="s">
        <v>4</v>
      </c>
      <c r="C505" t="s">
        <v>36</v>
      </c>
      <c r="D505">
        <v>33225</v>
      </c>
    </row>
    <row r="506" spans="1:4" x14ac:dyDescent="0.2">
      <c r="A506">
        <v>2019</v>
      </c>
      <c r="B506" t="s">
        <v>3</v>
      </c>
      <c r="C506" t="s">
        <v>19</v>
      </c>
      <c r="D506">
        <v>2250</v>
      </c>
    </row>
    <row r="507" spans="1:4" x14ac:dyDescent="0.2">
      <c r="A507">
        <v>2019</v>
      </c>
      <c r="B507" t="s">
        <v>3</v>
      </c>
      <c r="C507" t="s">
        <v>20</v>
      </c>
      <c r="D507">
        <v>21405</v>
      </c>
    </row>
    <row r="508" spans="1:4" x14ac:dyDescent="0.2">
      <c r="A508">
        <v>2019</v>
      </c>
      <c r="B508" t="s">
        <v>3</v>
      </c>
      <c r="C508" t="s">
        <v>21</v>
      </c>
      <c r="D508">
        <v>6237</v>
      </c>
    </row>
    <row r="509" spans="1:4" x14ac:dyDescent="0.2">
      <c r="A509">
        <v>2019</v>
      </c>
      <c r="B509" t="s">
        <v>3</v>
      </c>
      <c r="C509" t="s">
        <v>22</v>
      </c>
      <c r="D509">
        <v>4047</v>
      </c>
    </row>
    <row r="510" spans="1:4" x14ac:dyDescent="0.2">
      <c r="A510">
        <v>2019</v>
      </c>
      <c r="B510" t="s">
        <v>3</v>
      </c>
      <c r="C510" t="s">
        <v>23</v>
      </c>
      <c r="D510">
        <v>675</v>
      </c>
    </row>
    <row r="511" spans="1:4" x14ac:dyDescent="0.2">
      <c r="A511">
        <v>2019</v>
      </c>
      <c r="B511" t="s">
        <v>3</v>
      </c>
      <c r="C511" t="s">
        <v>24</v>
      </c>
      <c r="D511">
        <v>2037</v>
      </c>
    </row>
    <row r="512" spans="1:4" x14ac:dyDescent="0.2">
      <c r="A512">
        <v>2019</v>
      </c>
      <c r="B512" t="s">
        <v>3</v>
      </c>
      <c r="C512" t="s">
        <v>25</v>
      </c>
      <c r="D512">
        <v>1542</v>
      </c>
    </row>
    <row r="513" spans="1:4" x14ac:dyDescent="0.2">
      <c r="A513">
        <v>2019</v>
      </c>
      <c r="B513" t="s">
        <v>3</v>
      </c>
      <c r="C513" t="s">
        <v>26</v>
      </c>
      <c r="D513">
        <v>3057</v>
      </c>
    </row>
    <row r="514" spans="1:4" x14ac:dyDescent="0.2">
      <c r="A514">
        <v>2019</v>
      </c>
      <c r="B514" t="s">
        <v>3</v>
      </c>
      <c r="C514" t="s">
        <v>27</v>
      </c>
      <c r="D514">
        <v>5904</v>
      </c>
    </row>
    <row r="515" spans="1:4" x14ac:dyDescent="0.2">
      <c r="A515">
        <v>2019</v>
      </c>
      <c r="B515" t="s">
        <v>3</v>
      </c>
      <c r="C515" t="s">
        <v>28</v>
      </c>
      <c r="D515">
        <v>462</v>
      </c>
    </row>
    <row r="516" spans="1:4" x14ac:dyDescent="0.2">
      <c r="A516">
        <v>2019</v>
      </c>
      <c r="B516" t="s">
        <v>3</v>
      </c>
      <c r="C516" t="s">
        <v>29</v>
      </c>
      <c r="D516">
        <v>537</v>
      </c>
    </row>
    <row r="517" spans="1:4" x14ac:dyDescent="0.2">
      <c r="A517">
        <v>2019</v>
      </c>
      <c r="B517" t="s">
        <v>3</v>
      </c>
      <c r="C517" t="s">
        <v>30</v>
      </c>
      <c r="D517">
        <v>480</v>
      </c>
    </row>
    <row r="518" spans="1:4" x14ac:dyDescent="0.2">
      <c r="A518">
        <v>2019</v>
      </c>
      <c r="B518" t="s">
        <v>3</v>
      </c>
      <c r="C518" t="s">
        <v>31</v>
      </c>
      <c r="D518">
        <v>354</v>
      </c>
    </row>
    <row r="519" spans="1:4" x14ac:dyDescent="0.2">
      <c r="A519">
        <v>2019</v>
      </c>
      <c r="B519" t="s">
        <v>3</v>
      </c>
      <c r="C519" t="s">
        <v>32</v>
      </c>
      <c r="D519">
        <v>7164</v>
      </c>
    </row>
    <row r="520" spans="1:4" x14ac:dyDescent="0.2">
      <c r="A520">
        <v>2019</v>
      </c>
      <c r="B520" t="s">
        <v>3</v>
      </c>
      <c r="C520" t="s">
        <v>33</v>
      </c>
      <c r="D520">
        <v>2310</v>
      </c>
    </row>
    <row r="521" spans="1:4" x14ac:dyDescent="0.2">
      <c r="A521">
        <v>2019</v>
      </c>
      <c r="B521" t="s">
        <v>3</v>
      </c>
      <c r="C521" t="s">
        <v>34</v>
      </c>
      <c r="D521">
        <v>1152</v>
      </c>
    </row>
    <row r="522" spans="1:4" hidden="1" x14ac:dyDescent="0.2">
      <c r="A522">
        <v>2019</v>
      </c>
      <c r="B522" t="s">
        <v>3</v>
      </c>
      <c r="C522" s="1" t="s">
        <v>35</v>
      </c>
      <c r="D522">
        <v>21</v>
      </c>
    </row>
    <row r="523" spans="1:4" hidden="1" x14ac:dyDescent="0.2">
      <c r="A523">
        <v>2019</v>
      </c>
      <c r="B523" t="s">
        <v>3</v>
      </c>
      <c r="C523" t="s">
        <v>36</v>
      </c>
      <c r="D523">
        <v>59637</v>
      </c>
    </row>
    <row r="524" spans="1:4" hidden="1" x14ac:dyDescent="0.2">
      <c r="A524">
        <v>2019</v>
      </c>
      <c r="B524" t="s">
        <v>4</v>
      </c>
      <c r="C524" t="s">
        <v>19</v>
      </c>
      <c r="D524">
        <v>1662</v>
      </c>
    </row>
    <row r="525" spans="1:4" hidden="1" x14ac:dyDescent="0.2">
      <c r="A525">
        <v>2019</v>
      </c>
      <c r="B525" t="s">
        <v>4</v>
      </c>
      <c r="C525" t="s">
        <v>20</v>
      </c>
      <c r="D525">
        <v>8619</v>
      </c>
    </row>
    <row r="526" spans="1:4" hidden="1" x14ac:dyDescent="0.2">
      <c r="A526">
        <v>2019</v>
      </c>
      <c r="B526" t="s">
        <v>4</v>
      </c>
      <c r="C526" t="s">
        <v>21</v>
      </c>
      <c r="D526">
        <v>3393</v>
      </c>
    </row>
    <row r="527" spans="1:4" hidden="1" x14ac:dyDescent="0.2">
      <c r="A527">
        <v>2019</v>
      </c>
      <c r="B527" t="s">
        <v>4</v>
      </c>
      <c r="C527" t="s">
        <v>22</v>
      </c>
      <c r="D527">
        <v>2787</v>
      </c>
    </row>
    <row r="528" spans="1:4" hidden="1" x14ac:dyDescent="0.2">
      <c r="A528">
        <v>2019</v>
      </c>
      <c r="B528" t="s">
        <v>4</v>
      </c>
      <c r="C528" t="s">
        <v>23</v>
      </c>
      <c r="D528">
        <v>456</v>
      </c>
    </row>
    <row r="529" spans="1:4" hidden="1" x14ac:dyDescent="0.2">
      <c r="A529">
        <v>2019</v>
      </c>
      <c r="B529" t="s">
        <v>4</v>
      </c>
      <c r="C529" t="s">
        <v>24</v>
      </c>
      <c r="D529">
        <v>1584</v>
      </c>
    </row>
    <row r="530" spans="1:4" hidden="1" x14ac:dyDescent="0.2">
      <c r="A530">
        <v>2019</v>
      </c>
      <c r="B530" t="s">
        <v>4</v>
      </c>
      <c r="C530" t="s">
        <v>25</v>
      </c>
      <c r="D530">
        <v>1041</v>
      </c>
    </row>
    <row r="531" spans="1:4" hidden="1" x14ac:dyDescent="0.2">
      <c r="A531">
        <v>2019</v>
      </c>
      <c r="B531" t="s">
        <v>4</v>
      </c>
      <c r="C531" t="s">
        <v>26</v>
      </c>
      <c r="D531">
        <v>2178</v>
      </c>
    </row>
    <row r="532" spans="1:4" hidden="1" x14ac:dyDescent="0.2">
      <c r="A532">
        <v>2019</v>
      </c>
      <c r="B532" t="s">
        <v>4</v>
      </c>
      <c r="C532" t="s">
        <v>27</v>
      </c>
      <c r="D532">
        <v>3693</v>
      </c>
    </row>
    <row r="533" spans="1:4" hidden="1" x14ac:dyDescent="0.2">
      <c r="A533">
        <v>2019</v>
      </c>
      <c r="B533" t="s">
        <v>4</v>
      </c>
      <c r="C533" t="s">
        <v>28</v>
      </c>
      <c r="D533">
        <v>450</v>
      </c>
    </row>
    <row r="534" spans="1:4" hidden="1" x14ac:dyDescent="0.2">
      <c r="A534">
        <v>2019</v>
      </c>
      <c r="B534" t="s">
        <v>4</v>
      </c>
      <c r="C534" t="s">
        <v>29</v>
      </c>
      <c r="D534">
        <v>474</v>
      </c>
    </row>
    <row r="535" spans="1:4" hidden="1" x14ac:dyDescent="0.2">
      <c r="A535">
        <v>2019</v>
      </c>
      <c r="B535" t="s">
        <v>4</v>
      </c>
      <c r="C535" t="s">
        <v>30</v>
      </c>
      <c r="D535">
        <v>414</v>
      </c>
    </row>
    <row r="536" spans="1:4" hidden="1" x14ac:dyDescent="0.2">
      <c r="A536">
        <v>2019</v>
      </c>
      <c r="B536" t="s">
        <v>4</v>
      </c>
      <c r="C536" t="s">
        <v>31</v>
      </c>
      <c r="D536">
        <v>300</v>
      </c>
    </row>
    <row r="537" spans="1:4" hidden="1" x14ac:dyDescent="0.2">
      <c r="A537">
        <v>2019</v>
      </c>
      <c r="B537" t="s">
        <v>4</v>
      </c>
      <c r="C537" t="s">
        <v>32</v>
      </c>
      <c r="D537">
        <v>4608</v>
      </c>
    </row>
    <row r="538" spans="1:4" hidden="1" x14ac:dyDescent="0.2">
      <c r="A538">
        <v>2019</v>
      </c>
      <c r="B538" t="s">
        <v>4</v>
      </c>
      <c r="C538" t="s">
        <v>33</v>
      </c>
      <c r="D538">
        <v>1695</v>
      </c>
    </row>
    <row r="539" spans="1:4" hidden="1" x14ac:dyDescent="0.2">
      <c r="A539">
        <v>2019</v>
      </c>
      <c r="B539" t="s">
        <v>4</v>
      </c>
      <c r="C539" t="s">
        <v>34</v>
      </c>
      <c r="D539">
        <v>888</v>
      </c>
    </row>
    <row r="540" spans="1:4" hidden="1" x14ac:dyDescent="0.2">
      <c r="A540">
        <v>2019</v>
      </c>
      <c r="B540" t="s">
        <v>4</v>
      </c>
      <c r="C540" s="1" t="s">
        <v>35</v>
      </c>
      <c r="D540">
        <v>21</v>
      </c>
    </row>
    <row r="541" spans="1:4" hidden="1" x14ac:dyDescent="0.2">
      <c r="A541">
        <v>2019</v>
      </c>
      <c r="B541" t="s">
        <v>4</v>
      </c>
      <c r="C541" t="s">
        <v>36</v>
      </c>
      <c r="D541">
        <v>34260</v>
      </c>
    </row>
    <row r="542" spans="1:4" x14ac:dyDescent="0.2">
      <c r="A542">
        <v>2020</v>
      </c>
      <c r="B542" t="s">
        <v>3</v>
      </c>
      <c r="C542" t="s">
        <v>19</v>
      </c>
      <c r="D542">
        <v>2244</v>
      </c>
    </row>
    <row r="543" spans="1:4" x14ac:dyDescent="0.2">
      <c r="A543">
        <v>2020</v>
      </c>
      <c r="B543" t="s">
        <v>3</v>
      </c>
      <c r="C543" t="s">
        <v>20</v>
      </c>
      <c r="D543">
        <v>20385</v>
      </c>
    </row>
    <row r="544" spans="1:4" x14ac:dyDescent="0.2">
      <c r="A544">
        <v>2020</v>
      </c>
      <c r="B544" t="s">
        <v>3</v>
      </c>
      <c r="C544" t="s">
        <v>21</v>
      </c>
      <c r="D544">
        <v>6195</v>
      </c>
    </row>
    <row r="545" spans="1:4" x14ac:dyDescent="0.2">
      <c r="A545">
        <v>2020</v>
      </c>
      <c r="B545" t="s">
        <v>3</v>
      </c>
      <c r="C545" t="s">
        <v>22</v>
      </c>
      <c r="D545">
        <v>4005</v>
      </c>
    </row>
    <row r="546" spans="1:4" x14ac:dyDescent="0.2">
      <c r="A546">
        <v>2020</v>
      </c>
      <c r="B546" t="s">
        <v>3</v>
      </c>
      <c r="C546" t="s">
        <v>23</v>
      </c>
      <c r="D546">
        <v>663</v>
      </c>
    </row>
    <row r="547" spans="1:4" x14ac:dyDescent="0.2">
      <c r="A547">
        <v>2020</v>
      </c>
      <c r="B547" t="s">
        <v>3</v>
      </c>
      <c r="C547" t="s">
        <v>24</v>
      </c>
      <c r="D547">
        <v>2079</v>
      </c>
    </row>
    <row r="548" spans="1:4" x14ac:dyDescent="0.2">
      <c r="A548">
        <v>2020</v>
      </c>
      <c r="B548" t="s">
        <v>3</v>
      </c>
      <c r="C548" t="s">
        <v>25</v>
      </c>
      <c r="D548">
        <v>1467</v>
      </c>
    </row>
    <row r="549" spans="1:4" x14ac:dyDescent="0.2">
      <c r="A549">
        <v>2020</v>
      </c>
      <c r="B549" t="s">
        <v>3</v>
      </c>
      <c r="C549" t="s">
        <v>26</v>
      </c>
      <c r="D549">
        <v>2976</v>
      </c>
    </row>
    <row r="550" spans="1:4" x14ac:dyDescent="0.2">
      <c r="A550">
        <v>2020</v>
      </c>
      <c r="B550" t="s">
        <v>3</v>
      </c>
      <c r="C550" t="s">
        <v>27</v>
      </c>
      <c r="D550">
        <v>5691</v>
      </c>
    </row>
    <row r="551" spans="1:4" x14ac:dyDescent="0.2">
      <c r="A551">
        <v>2020</v>
      </c>
      <c r="B551" t="s">
        <v>3</v>
      </c>
      <c r="C551" t="s">
        <v>28</v>
      </c>
      <c r="D551">
        <v>474</v>
      </c>
    </row>
    <row r="552" spans="1:4" x14ac:dyDescent="0.2">
      <c r="A552">
        <v>2020</v>
      </c>
      <c r="B552" t="s">
        <v>3</v>
      </c>
      <c r="C552" t="s">
        <v>29</v>
      </c>
      <c r="D552">
        <v>477</v>
      </c>
    </row>
    <row r="553" spans="1:4" x14ac:dyDescent="0.2">
      <c r="A553">
        <v>2020</v>
      </c>
      <c r="B553" t="s">
        <v>3</v>
      </c>
      <c r="C553" t="s">
        <v>30</v>
      </c>
      <c r="D553">
        <v>477</v>
      </c>
    </row>
    <row r="554" spans="1:4" x14ac:dyDescent="0.2">
      <c r="A554">
        <v>2020</v>
      </c>
      <c r="B554" t="s">
        <v>3</v>
      </c>
      <c r="C554" t="s">
        <v>31</v>
      </c>
      <c r="D554">
        <v>312</v>
      </c>
    </row>
    <row r="555" spans="1:4" x14ac:dyDescent="0.2">
      <c r="A555">
        <v>2020</v>
      </c>
      <c r="B555" t="s">
        <v>3</v>
      </c>
      <c r="C555" t="s">
        <v>32</v>
      </c>
      <c r="D555">
        <v>6780</v>
      </c>
    </row>
    <row r="556" spans="1:4" x14ac:dyDescent="0.2">
      <c r="A556">
        <v>2020</v>
      </c>
      <c r="B556" t="s">
        <v>3</v>
      </c>
      <c r="C556" t="s">
        <v>33</v>
      </c>
      <c r="D556">
        <v>2238</v>
      </c>
    </row>
    <row r="557" spans="1:4" x14ac:dyDescent="0.2">
      <c r="A557">
        <v>2020</v>
      </c>
      <c r="B557" t="s">
        <v>3</v>
      </c>
      <c r="C557" t="s">
        <v>34</v>
      </c>
      <c r="D557">
        <v>1083</v>
      </c>
    </row>
    <row r="558" spans="1:4" hidden="1" x14ac:dyDescent="0.2">
      <c r="A558">
        <v>2020</v>
      </c>
      <c r="B558" t="s">
        <v>3</v>
      </c>
      <c r="C558" s="1" t="s">
        <v>35</v>
      </c>
      <c r="D558">
        <v>18</v>
      </c>
    </row>
    <row r="559" spans="1:4" hidden="1" x14ac:dyDescent="0.2">
      <c r="A559">
        <v>2020</v>
      </c>
      <c r="B559" t="s">
        <v>3</v>
      </c>
      <c r="C559" t="s">
        <v>36</v>
      </c>
      <c r="D559">
        <v>57576</v>
      </c>
    </row>
    <row r="560" spans="1:4" hidden="1" x14ac:dyDescent="0.2">
      <c r="A560">
        <v>2020</v>
      </c>
      <c r="B560" t="s">
        <v>4</v>
      </c>
      <c r="C560" t="s">
        <v>19</v>
      </c>
      <c r="D560">
        <v>1644</v>
      </c>
    </row>
    <row r="561" spans="1:4" hidden="1" x14ac:dyDescent="0.2">
      <c r="A561">
        <v>2020</v>
      </c>
      <c r="B561" t="s">
        <v>4</v>
      </c>
      <c r="C561" t="s">
        <v>20</v>
      </c>
      <c r="D561">
        <v>8328</v>
      </c>
    </row>
    <row r="562" spans="1:4" hidden="1" x14ac:dyDescent="0.2">
      <c r="A562">
        <v>2020</v>
      </c>
      <c r="B562" t="s">
        <v>4</v>
      </c>
      <c r="C562" t="s">
        <v>21</v>
      </c>
      <c r="D562">
        <v>3357</v>
      </c>
    </row>
    <row r="563" spans="1:4" hidden="1" x14ac:dyDescent="0.2">
      <c r="A563">
        <v>2020</v>
      </c>
      <c r="B563" t="s">
        <v>4</v>
      </c>
      <c r="C563" t="s">
        <v>22</v>
      </c>
      <c r="D563">
        <v>2526</v>
      </c>
    </row>
    <row r="564" spans="1:4" hidden="1" x14ac:dyDescent="0.2">
      <c r="A564">
        <v>2020</v>
      </c>
      <c r="B564" t="s">
        <v>4</v>
      </c>
      <c r="C564" t="s">
        <v>23</v>
      </c>
      <c r="D564">
        <v>393</v>
      </c>
    </row>
    <row r="565" spans="1:4" hidden="1" x14ac:dyDescent="0.2">
      <c r="A565">
        <v>2020</v>
      </c>
      <c r="B565" t="s">
        <v>4</v>
      </c>
      <c r="C565" t="s">
        <v>24</v>
      </c>
      <c r="D565">
        <v>1440</v>
      </c>
    </row>
    <row r="566" spans="1:4" hidden="1" x14ac:dyDescent="0.2">
      <c r="A566">
        <v>2020</v>
      </c>
      <c r="B566" t="s">
        <v>4</v>
      </c>
      <c r="C566" t="s">
        <v>25</v>
      </c>
      <c r="D566">
        <v>1002</v>
      </c>
    </row>
    <row r="567" spans="1:4" hidden="1" x14ac:dyDescent="0.2">
      <c r="A567">
        <v>2020</v>
      </c>
      <c r="B567" t="s">
        <v>4</v>
      </c>
      <c r="C567" t="s">
        <v>26</v>
      </c>
      <c r="D567">
        <v>2052</v>
      </c>
    </row>
    <row r="568" spans="1:4" hidden="1" x14ac:dyDescent="0.2">
      <c r="A568">
        <v>2020</v>
      </c>
      <c r="B568" t="s">
        <v>4</v>
      </c>
      <c r="C568" t="s">
        <v>27</v>
      </c>
      <c r="D568">
        <v>3282</v>
      </c>
    </row>
    <row r="569" spans="1:4" hidden="1" x14ac:dyDescent="0.2">
      <c r="A569">
        <v>2020</v>
      </c>
      <c r="B569" t="s">
        <v>4</v>
      </c>
      <c r="C569" t="s">
        <v>28</v>
      </c>
      <c r="D569">
        <v>366</v>
      </c>
    </row>
    <row r="570" spans="1:4" hidden="1" x14ac:dyDescent="0.2">
      <c r="A570">
        <v>2020</v>
      </c>
      <c r="B570" t="s">
        <v>4</v>
      </c>
      <c r="C570" t="s">
        <v>29</v>
      </c>
      <c r="D570">
        <v>444</v>
      </c>
    </row>
    <row r="571" spans="1:4" hidden="1" x14ac:dyDescent="0.2">
      <c r="A571">
        <v>2020</v>
      </c>
      <c r="B571" t="s">
        <v>4</v>
      </c>
      <c r="C571" t="s">
        <v>30</v>
      </c>
      <c r="D571">
        <v>423</v>
      </c>
    </row>
    <row r="572" spans="1:4" hidden="1" x14ac:dyDescent="0.2">
      <c r="A572">
        <v>2020</v>
      </c>
      <c r="B572" t="s">
        <v>4</v>
      </c>
      <c r="C572" t="s">
        <v>31</v>
      </c>
      <c r="D572">
        <v>273</v>
      </c>
    </row>
    <row r="573" spans="1:4" hidden="1" x14ac:dyDescent="0.2">
      <c r="A573">
        <v>2020</v>
      </c>
      <c r="B573" t="s">
        <v>4</v>
      </c>
      <c r="C573" t="s">
        <v>32</v>
      </c>
      <c r="D573">
        <v>4476</v>
      </c>
    </row>
    <row r="574" spans="1:4" hidden="1" x14ac:dyDescent="0.2">
      <c r="A574">
        <v>2020</v>
      </c>
      <c r="B574" t="s">
        <v>4</v>
      </c>
      <c r="C574" t="s">
        <v>33</v>
      </c>
      <c r="D574">
        <v>1677</v>
      </c>
    </row>
    <row r="575" spans="1:4" hidden="1" x14ac:dyDescent="0.2">
      <c r="A575">
        <v>2020</v>
      </c>
      <c r="B575" t="s">
        <v>4</v>
      </c>
      <c r="C575" t="s">
        <v>34</v>
      </c>
      <c r="D575">
        <v>894</v>
      </c>
    </row>
    <row r="576" spans="1:4" hidden="1" x14ac:dyDescent="0.2">
      <c r="A576">
        <v>2020</v>
      </c>
      <c r="B576" t="s">
        <v>4</v>
      </c>
      <c r="C576" s="1" t="s">
        <v>35</v>
      </c>
      <c r="D576">
        <v>30</v>
      </c>
    </row>
    <row r="577" spans="1:4" hidden="1" x14ac:dyDescent="0.2">
      <c r="A577">
        <v>2020</v>
      </c>
      <c r="B577" t="s">
        <v>4</v>
      </c>
      <c r="C577" t="s">
        <v>36</v>
      </c>
      <c r="D577">
        <v>32613</v>
      </c>
    </row>
    <row r="578" spans="1:4" x14ac:dyDescent="0.2">
      <c r="A578">
        <v>2021</v>
      </c>
      <c r="B578" t="s">
        <v>3</v>
      </c>
      <c r="C578" t="s">
        <v>19</v>
      </c>
      <c r="D578">
        <v>2262</v>
      </c>
    </row>
    <row r="579" spans="1:4" x14ac:dyDescent="0.2">
      <c r="A579">
        <v>2021</v>
      </c>
      <c r="B579" t="s">
        <v>3</v>
      </c>
      <c r="C579" t="s">
        <v>20</v>
      </c>
      <c r="D579">
        <v>20520</v>
      </c>
    </row>
    <row r="580" spans="1:4" x14ac:dyDescent="0.2">
      <c r="A580">
        <v>2021</v>
      </c>
      <c r="B580" t="s">
        <v>3</v>
      </c>
      <c r="C580" t="s">
        <v>21</v>
      </c>
      <c r="D580">
        <v>6330</v>
      </c>
    </row>
    <row r="581" spans="1:4" x14ac:dyDescent="0.2">
      <c r="A581">
        <v>2021</v>
      </c>
      <c r="B581" t="s">
        <v>3</v>
      </c>
      <c r="C581" t="s">
        <v>22</v>
      </c>
      <c r="D581">
        <v>4173</v>
      </c>
    </row>
    <row r="582" spans="1:4" x14ac:dyDescent="0.2">
      <c r="A582">
        <v>2021</v>
      </c>
      <c r="B582" t="s">
        <v>3</v>
      </c>
      <c r="C582" t="s">
        <v>23</v>
      </c>
      <c r="D582">
        <v>675</v>
      </c>
    </row>
    <row r="583" spans="1:4" x14ac:dyDescent="0.2">
      <c r="A583">
        <v>2021</v>
      </c>
      <c r="B583" t="s">
        <v>3</v>
      </c>
      <c r="C583" t="s">
        <v>24</v>
      </c>
      <c r="D583">
        <v>2127</v>
      </c>
    </row>
    <row r="584" spans="1:4" x14ac:dyDescent="0.2">
      <c r="A584">
        <v>2021</v>
      </c>
      <c r="B584" t="s">
        <v>3</v>
      </c>
      <c r="C584" t="s">
        <v>25</v>
      </c>
      <c r="D584">
        <v>1488</v>
      </c>
    </row>
    <row r="585" spans="1:4" x14ac:dyDescent="0.2">
      <c r="A585">
        <v>2021</v>
      </c>
      <c r="B585" t="s">
        <v>3</v>
      </c>
      <c r="C585" t="s">
        <v>26</v>
      </c>
      <c r="D585">
        <v>2952</v>
      </c>
    </row>
    <row r="586" spans="1:4" x14ac:dyDescent="0.2">
      <c r="A586">
        <v>2021</v>
      </c>
      <c r="B586" t="s">
        <v>3</v>
      </c>
      <c r="C586" t="s">
        <v>27</v>
      </c>
      <c r="D586">
        <v>5769</v>
      </c>
    </row>
    <row r="587" spans="1:4" x14ac:dyDescent="0.2">
      <c r="A587">
        <v>2021</v>
      </c>
      <c r="B587" t="s">
        <v>3</v>
      </c>
      <c r="C587" t="s">
        <v>28</v>
      </c>
      <c r="D587">
        <v>492</v>
      </c>
    </row>
    <row r="588" spans="1:4" x14ac:dyDescent="0.2">
      <c r="A588">
        <v>2021</v>
      </c>
      <c r="B588" t="s">
        <v>3</v>
      </c>
      <c r="C588" t="s">
        <v>29</v>
      </c>
      <c r="D588">
        <v>498</v>
      </c>
    </row>
    <row r="589" spans="1:4" x14ac:dyDescent="0.2">
      <c r="A589">
        <v>2021</v>
      </c>
      <c r="B589" t="s">
        <v>3</v>
      </c>
      <c r="C589" t="s">
        <v>30</v>
      </c>
      <c r="D589">
        <v>486</v>
      </c>
    </row>
    <row r="590" spans="1:4" x14ac:dyDescent="0.2">
      <c r="A590">
        <v>2021</v>
      </c>
      <c r="B590" t="s">
        <v>3</v>
      </c>
      <c r="C590" t="s">
        <v>31</v>
      </c>
      <c r="D590">
        <v>333</v>
      </c>
    </row>
    <row r="591" spans="1:4" x14ac:dyDescent="0.2">
      <c r="A591">
        <v>2021</v>
      </c>
      <c r="B591" t="s">
        <v>3</v>
      </c>
      <c r="C591" t="s">
        <v>32</v>
      </c>
      <c r="D591">
        <v>7158</v>
      </c>
    </row>
    <row r="592" spans="1:4" x14ac:dyDescent="0.2">
      <c r="A592">
        <v>2021</v>
      </c>
      <c r="B592" t="s">
        <v>3</v>
      </c>
      <c r="C592" t="s">
        <v>33</v>
      </c>
      <c r="D592">
        <v>2325</v>
      </c>
    </row>
    <row r="593" spans="1:4" x14ac:dyDescent="0.2">
      <c r="A593">
        <v>2021</v>
      </c>
      <c r="B593" t="s">
        <v>3</v>
      </c>
      <c r="C593" t="s">
        <v>34</v>
      </c>
      <c r="D593">
        <v>1059</v>
      </c>
    </row>
    <row r="594" spans="1:4" hidden="1" x14ac:dyDescent="0.2">
      <c r="A594">
        <v>2021</v>
      </c>
      <c r="B594" t="s">
        <v>3</v>
      </c>
      <c r="C594" s="1" t="s">
        <v>35</v>
      </c>
      <c r="D594">
        <v>12</v>
      </c>
    </row>
    <row r="595" spans="1:4" hidden="1" x14ac:dyDescent="0.2">
      <c r="A595">
        <v>2021</v>
      </c>
      <c r="B595" t="s">
        <v>3</v>
      </c>
      <c r="C595" t="s">
        <v>36</v>
      </c>
      <c r="D595">
        <v>58659</v>
      </c>
    </row>
    <row r="596" spans="1:4" hidden="1" x14ac:dyDescent="0.2">
      <c r="A596">
        <v>2021</v>
      </c>
      <c r="B596" t="s">
        <v>4</v>
      </c>
      <c r="C596" t="s">
        <v>19</v>
      </c>
      <c r="D596">
        <v>1722</v>
      </c>
    </row>
    <row r="597" spans="1:4" hidden="1" x14ac:dyDescent="0.2">
      <c r="A597">
        <v>2021</v>
      </c>
      <c r="B597" t="s">
        <v>4</v>
      </c>
      <c r="C597" t="s">
        <v>20</v>
      </c>
      <c r="D597">
        <v>8907</v>
      </c>
    </row>
    <row r="598" spans="1:4" hidden="1" x14ac:dyDescent="0.2">
      <c r="A598">
        <v>2021</v>
      </c>
      <c r="B598" t="s">
        <v>4</v>
      </c>
      <c r="C598" t="s">
        <v>21</v>
      </c>
      <c r="D598">
        <v>3600</v>
      </c>
    </row>
    <row r="599" spans="1:4" hidden="1" x14ac:dyDescent="0.2">
      <c r="A599">
        <v>2021</v>
      </c>
      <c r="B599" t="s">
        <v>4</v>
      </c>
      <c r="C599" t="s">
        <v>22</v>
      </c>
      <c r="D599">
        <v>2760</v>
      </c>
    </row>
    <row r="600" spans="1:4" hidden="1" x14ac:dyDescent="0.2">
      <c r="A600">
        <v>2021</v>
      </c>
      <c r="B600" t="s">
        <v>4</v>
      </c>
      <c r="C600" t="s">
        <v>23</v>
      </c>
      <c r="D600">
        <v>393</v>
      </c>
    </row>
    <row r="601" spans="1:4" hidden="1" x14ac:dyDescent="0.2">
      <c r="A601">
        <v>2021</v>
      </c>
      <c r="B601" t="s">
        <v>4</v>
      </c>
      <c r="C601" t="s">
        <v>24</v>
      </c>
      <c r="D601">
        <v>1548</v>
      </c>
    </row>
    <row r="602" spans="1:4" hidden="1" x14ac:dyDescent="0.2">
      <c r="A602">
        <v>2021</v>
      </c>
      <c r="B602" t="s">
        <v>4</v>
      </c>
      <c r="C602" t="s">
        <v>25</v>
      </c>
      <c r="D602">
        <v>1035</v>
      </c>
    </row>
    <row r="603" spans="1:4" hidden="1" x14ac:dyDescent="0.2">
      <c r="A603">
        <v>2021</v>
      </c>
      <c r="B603" t="s">
        <v>4</v>
      </c>
      <c r="C603" t="s">
        <v>26</v>
      </c>
      <c r="D603">
        <v>2295</v>
      </c>
    </row>
    <row r="604" spans="1:4" hidden="1" x14ac:dyDescent="0.2">
      <c r="A604">
        <v>2021</v>
      </c>
      <c r="B604" t="s">
        <v>4</v>
      </c>
      <c r="C604" t="s">
        <v>27</v>
      </c>
      <c r="D604">
        <v>3588</v>
      </c>
    </row>
    <row r="605" spans="1:4" hidden="1" x14ac:dyDescent="0.2">
      <c r="A605">
        <v>2021</v>
      </c>
      <c r="B605" t="s">
        <v>4</v>
      </c>
      <c r="C605" t="s">
        <v>28</v>
      </c>
      <c r="D605">
        <v>420</v>
      </c>
    </row>
    <row r="606" spans="1:4" hidden="1" x14ac:dyDescent="0.2">
      <c r="A606">
        <v>2021</v>
      </c>
      <c r="B606" t="s">
        <v>4</v>
      </c>
      <c r="C606" t="s">
        <v>29</v>
      </c>
      <c r="D606">
        <v>468</v>
      </c>
    </row>
    <row r="607" spans="1:4" hidden="1" x14ac:dyDescent="0.2">
      <c r="A607">
        <v>2021</v>
      </c>
      <c r="B607" t="s">
        <v>4</v>
      </c>
      <c r="C607" t="s">
        <v>30</v>
      </c>
      <c r="D607">
        <v>471</v>
      </c>
    </row>
    <row r="608" spans="1:4" hidden="1" x14ac:dyDescent="0.2">
      <c r="A608">
        <v>2021</v>
      </c>
      <c r="B608" t="s">
        <v>4</v>
      </c>
      <c r="C608" t="s">
        <v>31</v>
      </c>
      <c r="D608">
        <v>336</v>
      </c>
    </row>
    <row r="609" spans="1:4" hidden="1" x14ac:dyDescent="0.2">
      <c r="A609">
        <v>2021</v>
      </c>
      <c r="B609" t="s">
        <v>4</v>
      </c>
      <c r="C609" t="s">
        <v>32</v>
      </c>
      <c r="D609">
        <v>4689</v>
      </c>
    </row>
    <row r="610" spans="1:4" hidden="1" x14ac:dyDescent="0.2">
      <c r="A610">
        <v>2021</v>
      </c>
      <c r="B610" t="s">
        <v>4</v>
      </c>
      <c r="C610" t="s">
        <v>33</v>
      </c>
      <c r="D610">
        <v>1764</v>
      </c>
    </row>
    <row r="611" spans="1:4" hidden="1" x14ac:dyDescent="0.2">
      <c r="A611">
        <v>2021</v>
      </c>
      <c r="B611" t="s">
        <v>4</v>
      </c>
      <c r="C611" t="s">
        <v>34</v>
      </c>
      <c r="D611">
        <v>891</v>
      </c>
    </row>
    <row r="612" spans="1:4" hidden="1" x14ac:dyDescent="0.2">
      <c r="A612">
        <v>2021</v>
      </c>
      <c r="B612" t="s">
        <v>4</v>
      </c>
      <c r="C612" s="1" t="s">
        <v>35</v>
      </c>
      <c r="D612">
        <v>39</v>
      </c>
    </row>
    <row r="613" spans="1:4" hidden="1" x14ac:dyDescent="0.2">
      <c r="A613">
        <v>2021</v>
      </c>
      <c r="B613" t="s">
        <v>4</v>
      </c>
      <c r="C613" t="s">
        <v>36</v>
      </c>
      <c r="D613">
        <v>34929</v>
      </c>
    </row>
    <row r="614" spans="1:4" x14ac:dyDescent="0.2">
      <c r="A614">
        <v>2022</v>
      </c>
      <c r="B614" t="s">
        <v>3</v>
      </c>
      <c r="C614" t="s">
        <v>19</v>
      </c>
      <c r="D614">
        <v>2367</v>
      </c>
    </row>
    <row r="615" spans="1:4" x14ac:dyDescent="0.2">
      <c r="A615">
        <v>2022</v>
      </c>
      <c r="B615" t="s">
        <v>3</v>
      </c>
      <c r="C615" t="s">
        <v>20</v>
      </c>
      <c r="D615">
        <v>20469</v>
      </c>
    </row>
    <row r="616" spans="1:4" x14ac:dyDescent="0.2">
      <c r="A616">
        <v>2022</v>
      </c>
      <c r="B616" t="s">
        <v>3</v>
      </c>
      <c r="C616" t="s">
        <v>21</v>
      </c>
      <c r="D616">
        <v>6387</v>
      </c>
    </row>
    <row r="617" spans="1:4" x14ac:dyDescent="0.2">
      <c r="A617">
        <v>2022</v>
      </c>
      <c r="B617" t="s">
        <v>3</v>
      </c>
      <c r="C617" t="s">
        <v>22</v>
      </c>
      <c r="D617">
        <v>4257</v>
      </c>
    </row>
    <row r="618" spans="1:4" x14ac:dyDescent="0.2">
      <c r="A618">
        <v>2022</v>
      </c>
      <c r="B618" t="s">
        <v>3</v>
      </c>
      <c r="C618" t="s">
        <v>23</v>
      </c>
      <c r="D618">
        <v>723</v>
      </c>
    </row>
    <row r="619" spans="1:4" x14ac:dyDescent="0.2">
      <c r="A619">
        <v>2022</v>
      </c>
      <c r="B619" t="s">
        <v>3</v>
      </c>
      <c r="C619" t="s">
        <v>24</v>
      </c>
      <c r="D619">
        <v>2076</v>
      </c>
    </row>
    <row r="620" spans="1:4" x14ac:dyDescent="0.2">
      <c r="A620">
        <v>2022</v>
      </c>
      <c r="B620" t="s">
        <v>3</v>
      </c>
      <c r="C620" t="s">
        <v>25</v>
      </c>
      <c r="D620">
        <v>1458</v>
      </c>
    </row>
    <row r="621" spans="1:4" x14ac:dyDescent="0.2">
      <c r="A621">
        <v>2022</v>
      </c>
      <c r="B621" t="s">
        <v>3</v>
      </c>
      <c r="C621" t="s">
        <v>26</v>
      </c>
      <c r="D621">
        <v>3030</v>
      </c>
    </row>
    <row r="622" spans="1:4" x14ac:dyDescent="0.2">
      <c r="A622">
        <v>2022</v>
      </c>
      <c r="B622" t="s">
        <v>3</v>
      </c>
      <c r="C622" t="s">
        <v>27</v>
      </c>
      <c r="D622">
        <v>5610</v>
      </c>
    </row>
    <row r="623" spans="1:4" x14ac:dyDescent="0.2">
      <c r="A623">
        <v>2022</v>
      </c>
      <c r="B623" t="s">
        <v>3</v>
      </c>
      <c r="C623" t="s">
        <v>28</v>
      </c>
      <c r="D623">
        <v>483</v>
      </c>
    </row>
    <row r="624" spans="1:4" x14ac:dyDescent="0.2">
      <c r="A624">
        <v>2022</v>
      </c>
      <c r="B624" t="s">
        <v>3</v>
      </c>
      <c r="C624" t="s">
        <v>29</v>
      </c>
      <c r="D624">
        <v>483</v>
      </c>
    </row>
    <row r="625" spans="1:4" x14ac:dyDescent="0.2">
      <c r="A625">
        <v>2022</v>
      </c>
      <c r="B625" t="s">
        <v>3</v>
      </c>
      <c r="C625" t="s">
        <v>30</v>
      </c>
      <c r="D625">
        <v>480</v>
      </c>
    </row>
    <row r="626" spans="1:4" x14ac:dyDescent="0.2">
      <c r="A626">
        <v>2022</v>
      </c>
      <c r="B626" t="s">
        <v>3</v>
      </c>
      <c r="C626" t="s">
        <v>31</v>
      </c>
      <c r="D626">
        <v>303</v>
      </c>
    </row>
    <row r="627" spans="1:4" x14ac:dyDescent="0.2">
      <c r="A627">
        <v>2022</v>
      </c>
      <c r="B627" t="s">
        <v>3</v>
      </c>
      <c r="C627" t="s">
        <v>32</v>
      </c>
      <c r="D627">
        <v>7284</v>
      </c>
    </row>
    <row r="628" spans="1:4" x14ac:dyDescent="0.2">
      <c r="A628">
        <v>2022</v>
      </c>
      <c r="B628" t="s">
        <v>3</v>
      </c>
      <c r="C628" t="s">
        <v>33</v>
      </c>
      <c r="D628">
        <v>2328</v>
      </c>
    </row>
    <row r="629" spans="1:4" x14ac:dyDescent="0.2">
      <c r="A629">
        <v>2022</v>
      </c>
      <c r="B629" t="s">
        <v>3</v>
      </c>
      <c r="C629" t="s">
        <v>34</v>
      </c>
      <c r="D629">
        <v>1143</v>
      </c>
    </row>
    <row r="630" spans="1:4" hidden="1" x14ac:dyDescent="0.2">
      <c r="A630">
        <v>2022</v>
      </c>
      <c r="B630" t="s">
        <v>3</v>
      </c>
      <c r="C630" s="1" t="s">
        <v>35</v>
      </c>
      <c r="D630">
        <v>6</v>
      </c>
    </row>
    <row r="631" spans="1:4" hidden="1" x14ac:dyDescent="0.2">
      <c r="A631">
        <v>2022</v>
      </c>
      <c r="B631" t="s">
        <v>3</v>
      </c>
      <c r="C631" t="s">
        <v>36</v>
      </c>
      <c r="D631">
        <v>58887</v>
      </c>
    </row>
    <row r="632" spans="1:4" hidden="1" x14ac:dyDescent="0.2">
      <c r="A632">
        <v>2022</v>
      </c>
      <c r="B632" t="s">
        <v>4</v>
      </c>
      <c r="C632" t="s">
        <v>19</v>
      </c>
      <c r="D632">
        <v>1986</v>
      </c>
    </row>
    <row r="633" spans="1:4" hidden="1" x14ac:dyDescent="0.2">
      <c r="A633">
        <v>2022</v>
      </c>
      <c r="B633" t="s">
        <v>4</v>
      </c>
      <c r="C633" t="s">
        <v>20</v>
      </c>
      <c r="D633">
        <v>9783</v>
      </c>
    </row>
    <row r="634" spans="1:4" hidden="1" x14ac:dyDescent="0.2">
      <c r="A634">
        <v>2022</v>
      </c>
      <c r="B634" t="s">
        <v>4</v>
      </c>
      <c r="C634" t="s">
        <v>21</v>
      </c>
      <c r="D634">
        <v>4101</v>
      </c>
    </row>
    <row r="635" spans="1:4" hidden="1" x14ac:dyDescent="0.2">
      <c r="A635">
        <v>2022</v>
      </c>
      <c r="B635" t="s">
        <v>4</v>
      </c>
      <c r="C635" t="s">
        <v>22</v>
      </c>
      <c r="D635">
        <v>3183</v>
      </c>
    </row>
    <row r="636" spans="1:4" hidden="1" x14ac:dyDescent="0.2">
      <c r="A636">
        <v>2022</v>
      </c>
      <c r="B636" t="s">
        <v>4</v>
      </c>
      <c r="C636" t="s">
        <v>23</v>
      </c>
      <c r="D636">
        <v>441</v>
      </c>
    </row>
    <row r="637" spans="1:4" hidden="1" x14ac:dyDescent="0.2">
      <c r="A637">
        <v>2022</v>
      </c>
      <c r="B637" t="s">
        <v>4</v>
      </c>
      <c r="C637" t="s">
        <v>24</v>
      </c>
      <c r="D637">
        <v>1704</v>
      </c>
    </row>
    <row r="638" spans="1:4" hidden="1" x14ac:dyDescent="0.2">
      <c r="A638">
        <v>2022</v>
      </c>
      <c r="B638" t="s">
        <v>4</v>
      </c>
      <c r="C638" t="s">
        <v>25</v>
      </c>
      <c r="D638">
        <v>1113</v>
      </c>
    </row>
    <row r="639" spans="1:4" hidden="1" x14ac:dyDescent="0.2">
      <c r="A639">
        <v>2022</v>
      </c>
      <c r="B639" t="s">
        <v>4</v>
      </c>
      <c r="C639" t="s">
        <v>26</v>
      </c>
      <c r="D639">
        <v>2457</v>
      </c>
    </row>
    <row r="640" spans="1:4" hidden="1" x14ac:dyDescent="0.2">
      <c r="A640">
        <v>2022</v>
      </c>
      <c r="B640" t="s">
        <v>4</v>
      </c>
      <c r="C640" t="s">
        <v>27</v>
      </c>
      <c r="D640">
        <v>3804</v>
      </c>
    </row>
    <row r="641" spans="1:4" hidden="1" x14ac:dyDescent="0.2">
      <c r="A641">
        <v>2022</v>
      </c>
      <c r="B641" t="s">
        <v>4</v>
      </c>
      <c r="C641" t="s">
        <v>28</v>
      </c>
      <c r="D641">
        <v>444</v>
      </c>
    </row>
    <row r="642" spans="1:4" hidden="1" x14ac:dyDescent="0.2">
      <c r="A642">
        <v>2022</v>
      </c>
      <c r="B642" t="s">
        <v>4</v>
      </c>
      <c r="C642" t="s">
        <v>29</v>
      </c>
      <c r="D642">
        <v>531</v>
      </c>
    </row>
    <row r="643" spans="1:4" hidden="1" x14ac:dyDescent="0.2">
      <c r="A643">
        <v>2022</v>
      </c>
      <c r="B643" t="s">
        <v>4</v>
      </c>
      <c r="C643" t="s">
        <v>30</v>
      </c>
      <c r="D643">
        <v>453</v>
      </c>
    </row>
    <row r="644" spans="1:4" hidden="1" x14ac:dyDescent="0.2">
      <c r="A644">
        <v>2022</v>
      </c>
      <c r="B644" t="s">
        <v>4</v>
      </c>
      <c r="C644" t="s">
        <v>31</v>
      </c>
      <c r="D644">
        <v>363</v>
      </c>
    </row>
    <row r="645" spans="1:4" hidden="1" x14ac:dyDescent="0.2">
      <c r="A645">
        <v>2022</v>
      </c>
      <c r="B645" t="s">
        <v>4</v>
      </c>
      <c r="C645" t="s">
        <v>32</v>
      </c>
      <c r="D645">
        <v>5319</v>
      </c>
    </row>
    <row r="646" spans="1:4" hidden="1" x14ac:dyDescent="0.2">
      <c r="A646">
        <v>2022</v>
      </c>
      <c r="B646" t="s">
        <v>4</v>
      </c>
      <c r="C646" t="s">
        <v>33</v>
      </c>
      <c r="D646">
        <v>1932</v>
      </c>
    </row>
    <row r="647" spans="1:4" hidden="1" x14ac:dyDescent="0.2">
      <c r="A647">
        <v>2022</v>
      </c>
      <c r="B647" t="s">
        <v>4</v>
      </c>
      <c r="C647" t="s">
        <v>34</v>
      </c>
      <c r="D647">
        <v>933</v>
      </c>
    </row>
    <row r="648" spans="1:4" hidden="1" x14ac:dyDescent="0.2">
      <c r="A648">
        <v>2022</v>
      </c>
      <c r="B648" t="s">
        <v>4</v>
      </c>
      <c r="C648" s="1" t="s">
        <v>35</v>
      </c>
      <c r="D648">
        <v>33</v>
      </c>
    </row>
    <row r="649" spans="1:4" hidden="1" x14ac:dyDescent="0.2">
      <c r="A649">
        <v>2022</v>
      </c>
      <c r="B649" t="s">
        <v>4</v>
      </c>
      <c r="C649" t="s">
        <v>36</v>
      </c>
      <c r="D649">
        <v>38574</v>
      </c>
    </row>
  </sheetData>
  <conditionalFormatting sqref="D2:D17">
    <cfRule type="dataBar" priority="1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{3DF519DA-B3F7-44AD-B97D-978B28911F9B}</x14:id>
        </ext>
      </extLst>
    </cfRule>
  </conditionalFormatting>
  <conditionalFormatting sqref="D38:D53">
    <cfRule type="dataBar" priority="18">
      <dataBar>
        <cfvo type="min"/>
        <cfvo type="max"/>
        <color theme="4"/>
      </dataBar>
      <extLst>
        <ext xmlns:x14="http://schemas.microsoft.com/office/spreadsheetml/2009/9/main" uri="{B025F937-C7B1-47D3-B67F-A62EFF666E3E}">
          <x14:id>{A7614184-60F3-4BF9-987B-F18656530C6C}</x14:id>
        </ext>
      </extLst>
    </cfRule>
  </conditionalFormatting>
  <conditionalFormatting sqref="D74:D89">
    <cfRule type="dataBar" priority="1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{CC47A152-4A14-4DD5-907A-1430408556C1}</x14:id>
        </ext>
      </extLst>
    </cfRule>
  </conditionalFormatting>
  <conditionalFormatting sqref="D110:D125">
    <cfRule type="dataBar" priority="16">
      <dataBar>
        <cfvo type="min"/>
        <cfvo type="max"/>
        <color theme="4"/>
      </dataBar>
      <extLst>
        <ext xmlns:x14="http://schemas.microsoft.com/office/spreadsheetml/2009/9/main" uri="{B025F937-C7B1-47D3-B67F-A62EFF666E3E}">
          <x14:id>{3E51D9B5-94D8-44AD-9082-103E99D0FB72}</x14:id>
        </ext>
      </extLst>
    </cfRule>
  </conditionalFormatting>
  <conditionalFormatting sqref="D146:D161">
    <cfRule type="dataBar" priority="1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{EC3EDD0B-D6F5-4DF5-B6DC-5ADBE449327D}</x14:id>
        </ext>
      </extLst>
    </cfRule>
  </conditionalFormatting>
  <conditionalFormatting sqref="D182:D197">
    <cfRule type="dataBar" priority="14">
      <dataBar>
        <cfvo type="min"/>
        <cfvo type="max"/>
        <color theme="4"/>
      </dataBar>
      <extLst>
        <ext xmlns:x14="http://schemas.microsoft.com/office/spreadsheetml/2009/9/main" uri="{B025F937-C7B1-47D3-B67F-A62EFF666E3E}">
          <x14:id>{89E8D19E-FA8F-4EDC-B876-003B1C4185FB}</x14:id>
        </ext>
      </extLst>
    </cfRule>
  </conditionalFormatting>
  <conditionalFormatting sqref="D218:D233">
    <cfRule type="dataBar" priority="1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{3FEC72A1-7551-4655-AD6C-D938B2BDAAC0}</x14:id>
        </ext>
      </extLst>
    </cfRule>
  </conditionalFormatting>
  <conditionalFormatting sqref="D254:D269">
    <cfRule type="dataBar" priority="12">
      <dataBar>
        <cfvo type="min"/>
        <cfvo type="max"/>
        <color theme="4"/>
      </dataBar>
      <extLst>
        <ext xmlns:x14="http://schemas.microsoft.com/office/spreadsheetml/2009/9/main" uri="{B025F937-C7B1-47D3-B67F-A62EFF666E3E}">
          <x14:id>{EF2CA9E8-B19E-4096-AC1B-F9E51F64324D}</x14:id>
        </ext>
      </extLst>
    </cfRule>
  </conditionalFormatting>
  <conditionalFormatting sqref="D290:D305">
    <cfRule type="dataBar" priority="1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{A65715B8-7FE0-4F9A-9612-6AFE3E9A6DDB}</x14:id>
        </ext>
      </extLst>
    </cfRule>
    <cfRule type="dataBar" priority="11">
      <dataBar>
        <cfvo type="min"/>
        <cfvo type="max"/>
        <color theme="4"/>
      </dataBar>
      <extLst>
        <ext xmlns:x14="http://schemas.microsoft.com/office/spreadsheetml/2009/9/main" uri="{B025F937-C7B1-47D3-B67F-A62EFF666E3E}">
          <x14:id>{6A74AEF9-E9FF-4C65-81AF-92EE03E8B194}</x14:id>
        </ext>
      </extLst>
    </cfRule>
  </conditionalFormatting>
  <conditionalFormatting sqref="D326:D341">
    <cfRule type="dataBar" priority="9">
      <dataBar>
        <cfvo type="min"/>
        <cfvo type="max"/>
        <color theme="4"/>
      </dataBar>
      <extLst>
        <ext xmlns:x14="http://schemas.microsoft.com/office/spreadsheetml/2009/9/main" uri="{B025F937-C7B1-47D3-B67F-A62EFF666E3E}">
          <x14:id>{11B60A85-06A5-4541-905D-4BAAFE8E1B95}</x14:id>
        </ext>
      </extLst>
    </cfRule>
  </conditionalFormatting>
  <conditionalFormatting sqref="D362:D377">
    <cfRule type="dataBar" priority="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{39786016-50FF-45A1-BDF9-E7E3B7783B9D}</x14:id>
        </ext>
      </extLst>
    </cfRule>
  </conditionalFormatting>
  <conditionalFormatting sqref="D398:D413">
    <cfRule type="dataBar" priority="7">
      <dataBar>
        <cfvo type="min"/>
        <cfvo type="max"/>
        <color theme="4"/>
      </dataBar>
      <extLst>
        <ext xmlns:x14="http://schemas.microsoft.com/office/spreadsheetml/2009/9/main" uri="{B025F937-C7B1-47D3-B67F-A62EFF666E3E}">
          <x14:id>{CC7CA443-4CF1-44FE-852B-806955F41B47}</x14:id>
        </ext>
      </extLst>
    </cfRule>
  </conditionalFormatting>
  <conditionalFormatting sqref="D434:D449">
    <cfRule type="dataBar" priority="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{C7AD08FF-9319-4460-B67D-4C41692AEA00}</x14:id>
        </ext>
      </extLst>
    </cfRule>
  </conditionalFormatting>
  <conditionalFormatting sqref="D470:D485">
    <cfRule type="dataBar" priority="5">
      <dataBar>
        <cfvo type="min"/>
        <cfvo type="max"/>
        <color theme="4"/>
      </dataBar>
      <extLst>
        <ext xmlns:x14="http://schemas.microsoft.com/office/spreadsheetml/2009/9/main" uri="{B025F937-C7B1-47D3-B67F-A62EFF666E3E}">
          <x14:id>{67250145-AA46-4660-8BB3-49E540BBB203}</x14:id>
        </ext>
      </extLst>
    </cfRule>
  </conditionalFormatting>
  <conditionalFormatting sqref="D506:D521">
    <cfRule type="dataBar" priority="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{D81D6AA1-DB5F-4832-91CE-73394F24EF69}</x14:id>
        </ext>
      </extLst>
    </cfRule>
  </conditionalFormatting>
  <conditionalFormatting sqref="D542:D557">
    <cfRule type="dataBar" priority="3">
      <dataBar>
        <cfvo type="min"/>
        <cfvo type="max"/>
        <color theme="4"/>
      </dataBar>
      <extLst>
        <ext xmlns:x14="http://schemas.microsoft.com/office/spreadsheetml/2009/9/main" uri="{B025F937-C7B1-47D3-B67F-A62EFF666E3E}">
          <x14:id>{D2A6AEBB-3505-438E-ACB1-6CEA29788BE7}</x14:id>
        </ext>
      </extLst>
    </cfRule>
  </conditionalFormatting>
  <conditionalFormatting sqref="D578:D593">
    <cfRule type="dataBar" priority="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{E1305107-80A9-4CE7-B02D-92744F161CE6}</x14:id>
        </ext>
      </extLst>
    </cfRule>
  </conditionalFormatting>
  <conditionalFormatting sqref="D614:D629">
    <cfRule type="dataBar" priority="1">
      <dataBar>
        <cfvo type="min"/>
        <cfvo type="max"/>
        <color theme="4"/>
      </dataBar>
      <extLst>
        <ext xmlns:x14="http://schemas.microsoft.com/office/spreadsheetml/2009/9/main" uri="{B025F937-C7B1-47D3-B67F-A62EFF666E3E}">
          <x14:id>{948F0C08-77C1-45BC-BACB-F83B915DCFE2}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F519DA-B3F7-44AD-B97D-978B28911F9B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D2:D17</xm:sqref>
        </x14:conditionalFormatting>
        <x14:conditionalFormatting xmlns:xm="http://schemas.microsoft.com/office/excel/2006/main">
          <x14:cfRule type="dataBar" id="{A7614184-60F3-4BF9-987B-F18656530C6C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D38:D53</xm:sqref>
        </x14:conditionalFormatting>
        <x14:conditionalFormatting xmlns:xm="http://schemas.microsoft.com/office/excel/2006/main">
          <x14:cfRule type="dataBar" id="{CC47A152-4A14-4DD5-907A-1430408556C1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D74:D89</xm:sqref>
        </x14:conditionalFormatting>
        <x14:conditionalFormatting xmlns:xm="http://schemas.microsoft.com/office/excel/2006/main">
          <x14:cfRule type="dataBar" id="{3E51D9B5-94D8-44AD-9082-103E99D0FB72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D110:D125</xm:sqref>
        </x14:conditionalFormatting>
        <x14:conditionalFormatting xmlns:xm="http://schemas.microsoft.com/office/excel/2006/main">
          <x14:cfRule type="dataBar" id="{EC3EDD0B-D6F5-4DF5-B6DC-5ADBE449327D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D146:D161</xm:sqref>
        </x14:conditionalFormatting>
        <x14:conditionalFormatting xmlns:xm="http://schemas.microsoft.com/office/excel/2006/main">
          <x14:cfRule type="dataBar" id="{89E8D19E-FA8F-4EDC-B876-003B1C4185FB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D182:D197</xm:sqref>
        </x14:conditionalFormatting>
        <x14:conditionalFormatting xmlns:xm="http://schemas.microsoft.com/office/excel/2006/main">
          <x14:cfRule type="dataBar" id="{3FEC72A1-7551-4655-AD6C-D938B2BDAAC0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D218:D233</xm:sqref>
        </x14:conditionalFormatting>
        <x14:conditionalFormatting xmlns:xm="http://schemas.microsoft.com/office/excel/2006/main">
          <x14:cfRule type="dataBar" id="{EF2CA9E8-B19E-4096-AC1B-F9E51F64324D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D254:D269</xm:sqref>
        </x14:conditionalFormatting>
        <x14:conditionalFormatting xmlns:xm="http://schemas.microsoft.com/office/excel/2006/main">
          <x14:cfRule type="dataBar" id="{A65715B8-7FE0-4F9A-9612-6AFE3E9A6DDB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14:cfRule type="dataBar" id="{6A74AEF9-E9FF-4C65-81AF-92EE03E8B194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D290:D305</xm:sqref>
        </x14:conditionalFormatting>
        <x14:conditionalFormatting xmlns:xm="http://schemas.microsoft.com/office/excel/2006/main">
          <x14:cfRule type="dataBar" id="{11B60A85-06A5-4541-905D-4BAAFE8E1B95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D326:D341</xm:sqref>
        </x14:conditionalFormatting>
        <x14:conditionalFormatting xmlns:xm="http://schemas.microsoft.com/office/excel/2006/main">
          <x14:cfRule type="dataBar" id="{39786016-50FF-45A1-BDF9-E7E3B7783B9D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D362:D377</xm:sqref>
        </x14:conditionalFormatting>
        <x14:conditionalFormatting xmlns:xm="http://schemas.microsoft.com/office/excel/2006/main">
          <x14:cfRule type="dataBar" id="{CC7CA443-4CF1-44FE-852B-806955F41B47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D398:D413</xm:sqref>
        </x14:conditionalFormatting>
        <x14:conditionalFormatting xmlns:xm="http://schemas.microsoft.com/office/excel/2006/main">
          <x14:cfRule type="dataBar" id="{C7AD08FF-9319-4460-B67D-4C41692AEA00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D434:D449</xm:sqref>
        </x14:conditionalFormatting>
        <x14:conditionalFormatting xmlns:xm="http://schemas.microsoft.com/office/excel/2006/main">
          <x14:cfRule type="dataBar" id="{67250145-AA46-4660-8BB3-49E540BBB203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D470:D485</xm:sqref>
        </x14:conditionalFormatting>
        <x14:conditionalFormatting xmlns:xm="http://schemas.microsoft.com/office/excel/2006/main">
          <x14:cfRule type="dataBar" id="{D81D6AA1-DB5F-4832-91CE-73394F24EF69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D506:D521</xm:sqref>
        </x14:conditionalFormatting>
        <x14:conditionalFormatting xmlns:xm="http://schemas.microsoft.com/office/excel/2006/main">
          <x14:cfRule type="dataBar" id="{D2A6AEBB-3505-438E-ACB1-6CEA29788BE7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D542:D557</xm:sqref>
        </x14:conditionalFormatting>
        <x14:conditionalFormatting xmlns:xm="http://schemas.microsoft.com/office/excel/2006/main">
          <x14:cfRule type="dataBar" id="{E1305107-80A9-4CE7-B02D-92744F161CE6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D578:D593</xm:sqref>
        </x14:conditionalFormatting>
        <x14:conditionalFormatting xmlns:xm="http://schemas.microsoft.com/office/excel/2006/main">
          <x14:cfRule type="dataBar" id="{948F0C08-77C1-45BC-BACB-F83B915DCFE2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D614:D629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70"/>
  <sheetViews>
    <sheetView workbookViewId="0">
      <pane ySplit="1" topLeftCell="A7" activePane="bottomLeft" state="frozen"/>
      <selection pane="bottomLeft" activeCell="C1" sqref="C1"/>
    </sheetView>
  </sheetViews>
  <sheetFormatPr defaultRowHeight="15" x14ac:dyDescent="0.2"/>
  <cols>
    <col min="1" max="1" width="6.9921875" customWidth="1"/>
    <col min="2" max="2" width="12.77734375" customWidth="1"/>
  </cols>
  <sheetData>
    <row r="1" spans="1:3" s="2" customFormat="1" x14ac:dyDescent="0.2">
      <c r="A1" s="2" t="s">
        <v>0</v>
      </c>
      <c r="B1" s="2" t="s">
        <v>1</v>
      </c>
      <c r="C1" s="2" t="s">
        <v>2</v>
      </c>
    </row>
    <row r="2" spans="1:3" hidden="1" x14ac:dyDescent="0.2">
      <c r="A2">
        <v>2000</v>
      </c>
      <c r="B2" t="s">
        <v>3</v>
      </c>
      <c r="C2">
        <v>56604</v>
      </c>
    </row>
    <row r="3" spans="1:3" hidden="1" x14ac:dyDescent="0.2">
      <c r="A3">
        <v>2001</v>
      </c>
      <c r="B3" t="s">
        <v>3</v>
      </c>
      <c r="C3">
        <v>55800</v>
      </c>
    </row>
    <row r="4" spans="1:3" hidden="1" x14ac:dyDescent="0.2">
      <c r="A4">
        <v>2002</v>
      </c>
      <c r="B4" t="s">
        <v>3</v>
      </c>
      <c r="C4">
        <v>54021</v>
      </c>
    </row>
    <row r="5" spans="1:3" hidden="1" x14ac:dyDescent="0.2">
      <c r="A5">
        <v>2003</v>
      </c>
      <c r="B5" t="s">
        <v>3</v>
      </c>
      <c r="C5">
        <v>56136</v>
      </c>
    </row>
    <row r="6" spans="1:3" hidden="1" x14ac:dyDescent="0.2">
      <c r="A6">
        <v>2004</v>
      </c>
      <c r="B6" t="s">
        <v>3</v>
      </c>
      <c r="C6">
        <v>58074</v>
      </c>
    </row>
    <row r="7" spans="1:3" x14ac:dyDescent="0.2">
      <c r="A7">
        <v>2005</v>
      </c>
      <c r="B7" t="s">
        <v>3</v>
      </c>
      <c r="C7">
        <v>57744</v>
      </c>
    </row>
    <row r="8" spans="1:3" x14ac:dyDescent="0.2">
      <c r="A8">
        <v>2006</v>
      </c>
      <c r="B8" t="s">
        <v>3</v>
      </c>
      <c r="C8">
        <v>59193</v>
      </c>
    </row>
    <row r="9" spans="1:3" x14ac:dyDescent="0.2">
      <c r="A9">
        <v>2007</v>
      </c>
      <c r="B9" t="s">
        <v>3</v>
      </c>
      <c r="C9">
        <v>64044</v>
      </c>
    </row>
    <row r="10" spans="1:3" x14ac:dyDescent="0.2">
      <c r="A10">
        <v>2008</v>
      </c>
      <c r="B10" t="s">
        <v>3</v>
      </c>
      <c r="C10">
        <v>64341</v>
      </c>
    </row>
    <row r="11" spans="1:3" x14ac:dyDescent="0.2">
      <c r="A11">
        <v>2009</v>
      </c>
      <c r="B11" t="s">
        <v>3</v>
      </c>
      <c r="C11">
        <v>62541</v>
      </c>
    </row>
    <row r="12" spans="1:3" x14ac:dyDescent="0.2">
      <c r="A12">
        <v>2010</v>
      </c>
      <c r="B12" t="s">
        <v>3</v>
      </c>
      <c r="C12">
        <v>63897</v>
      </c>
    </row>
    <row r="13" spans="1:3" x14ac:dyDescent="0.2">
      <c r="A13">
        <v>2011</v>
      </c>
      <c r="B13" t="s">
        <v>3</v>
      </c>
      <c r="C13">
        <v>61404</v>
      </c>
    </row>
    <row r="14" spans="1:3" x14ac:dyDescent="0.2">
      <c r="A14">
        <v>2012</v>
      </c>
      <c r="B14" t="s">
        <v>3</v>
      </c>
      <c r="C14">
        <v>61179</v>
      </c>
    </row>
    <row r="15" spans="1:3" x14ac:dyDescent="0.2">
      <c r="A15">
        <v>2013</v>
      </c>
      <c r="B15" t="s">
        <v>3</v>
      </c>
      <c r="C15">
        <v>58719</v>
      </c>
    </row>
    <row r="16" spans="1:3" x14ac:dyDescent="0.2">
      <c r="A16">
        <v>2014</v>
      </c>
      <c r="B16" t="s">
        <v>3</v>
      </c>
      <c r="C16">
        <v>57243</v>
      </c>
    </row>
    <row r="17" spans="1:3" x14ac:dyDescent="0.2">
      <c r="A17">
        <v>2015</v>
      </c>
      <c r="B17" t="s">
        <v>3</v>
      </c>
      <c r="C17">
        <v>61038</v>
      </c>
    </row>
    <row r="18" spans="1:3" x14ac:dyDescent="0.2">
      <c r="A18">
        <v>2016</v>
      </c>
      <c r="B18" t="s">
        <v>3</v>
      </c>
      <c r="C18">
        <v>59430</v>
      </c>
    </row>
    <row r="19" spans="1:3" x14ac:dyDescent="0.2">
      <c r="A19">
        <v>2017</v>
      </c>
      <c r="B19" t="s">
        <v>3</v>
      </c>
      <c r="C19">
        <v>59610</v>
      </c>
    </row>
    <row r="20" spans="1:3" x14ac:dyDescent="0.2">
      <c r="A20">
        <v>2018</v>
      </c>
      <c r="B20" t="s">
        <v>3</v>
      </c>
      <c r="C20">
        <v>58020</v>
      </c>
    </row>
    <row r="21" spans="1:3" x14ac:dyDescent="0.2">
      <c r="A21">
        <v>2019</v>
      </c>
      <c r="B21" t="s">
        <v>3</v>
      </c>
      <c r="C21">
        <v>59637</v>
      </c>
    </row>
    <row r="22" spans="1:3" x14ac:dyDescent="0.2">
      <c r="A22">
        <v>2020</v>
      </c>
      <c r="B22" t="s">
        <v>3</v>
      </c>
      <c r="C22">
        <v>57573</v>
      </c>
    </row>
    <row r="23" spans="1:3" x14ac:dyDescent="0.2">
      <c r="A23">
        <v>2021</v>
      </c>
      <c r="B23" t="s">
        <v>3</v>
      </c>
      <c r="C23">
        <v>58659</v>
      </c>
    </row>
    <row r="24" spans="1:3" x14ac:dyDescent="0.2">
      <c r="A24">
        <v>2022</v>
      </c>
      <c r="B24" t="s">
        <v>3</v>
      </c>
      <c r="C24">
        <v>58887</v>
      </c>
    </row>
    <row r="25" spans="1:3" hidden="1" x14ac:dyDescent="0.2">
      <c r="A25">
        <v>2000</v>
      </c>
      <c r="B25" t="s">
        <v>4</v>
      </c>
      <c r="C25">
        <v>26658</v>
      </c>
    </row>
    <row r="26" spans="1:3" hidden="1" x14ac:dyDescent="0.2">
      <c r="A26">
        <v>2001</v>
      </c>
      <c r="B26" t="s">
        <v>4</v>
      </c>
      <c r="C26">
        <v>27825</v>
      </c>
    </row>
    <row r="27" spans="1:3" hidden="1" x14ac:dyDescent="0.2">
      <c r="A27">
        <v>2002</v>
      </c>
      <c r="B27" t="s">
        <v>4</v>
      </c>
      <c r="C27">
        <v>28065</v>
      </c>
    </row>
    <row r="28" spans="1:3" hidden="1" x14ac:dyDescent="0.2">
      <c r="A28">
        <v>2003</v>
      </c>
      <c r="B28" t="s">
        <v>4</v>
      </c>
      <c r="C28">
        <v>28011</v>
      </c>
    </row>
    <row r="29" spans="1:3" hidden="1" x14ac:dyDescent="0.2">
      <c r="A29">
        <v>2004</v>
      </c>
      <c r="B29" t="s">
        <v>4</v>
      </c>
      <c r="C29">
        <v>28419</v>
      </c>
    </row>
    <row r="30" spans="1:3" hidden="1" x14ac:dyDescent="0.2">
      <c r="A30">
        <v>2005</v>
      </c>
      <c r="B30" t="s">
        <v>4</v>
      </c>
      <c r="C30">
        <v>27033</v>
      </c>
    </row>
    <row r="31" spans="1:3" hidden="1" x14ac:dyDescent="0.2">
      <c r="A31">
        <v>2006</v>
      </c>
      <c r="B31" t="s">
        <v>4</v>
      </c>
      <c r="C31">
        <v>28245</v>
      </c>
    </row>
    <row r="32" spans="1:3" hidden="1" x14ac:dyDescent="0.2">
      <c r="A32">
        <v>2007</v>
      </c>
      <c r="B32" t="s">
        <v>4</v>
      </c>
      <c r="C32">
        <v>28521</v>
      </c>
    </row>
    <row r="33" spans="1:3" hidden="1" x14ac:dyDescent="0.2">
      <c r="A33">
        <v>2008</v>
      </c>
      <c r="B33" t="s">
        <v>4</v>
      </c>
      <c r="C33">
        <v>29187</v>
      </c>
    </row>
    <row r="34" spans="1:3" hidden="1" x14ac:dyDescent="0.2">
      <c r="A34">
        <v>2009</v>
      </c>
      <c r="B34" t="s">
        <v>4</v>
      </c>
      <c r="C34">
        <v>28965</v>
      </c>
    </row>
    <row r="35" spans="1:3" hidden="1" x14ac:dyDescent="0.2">
      <c r="A35">
        <v>2010</v>
      </c>
      <c r="B35" t="s">
        <v>4</v>
      </c>
      <c r="C35">
        <v>28437</v>
      </c>
    </row>
    <row r="36" spans="1:3" hidden="1" x14ac:dyDescent="0.2">
      <c r="A36">
        <v>2011</v>
      </c>
      <c r="B36" t="s">
        <v>4</v>
      </c>
      <c r="C36">
        <v>30081</v>
      </c>
    </row>
    <row r="37" spans="1:3" hidden="1" x14ac:dyDescent="0.2">
      <c r="A37">
        <v>2012</v>
      </c>
      <c r="B37" t="s">
        <v>4</v>
      </c>
      <c r="C37">
        <v>30099</v>
      </c>
    </row>
    <row r="38" spans="1:3" hidden="1" x14ac:dyDescent="0.2">
      <c r="A38">
        <v>2013</v>
      </c>
      <c r="B38" t="s">
        <v>4</v>
      </c>
      <c r="C38">
        <v>29568</v>
      </c>
    </row>
    <row r="39" spans="1:3" hidden="1" x14ac:dyDescent="0.2">
      <c r="A39">
        <v>2014</v>
      </c>
      <c r="B39" t="s">
        <v>4</v>
      </c>
      <c r="C39">
        <v>31062</v>
      </c>
    </row>
    <row r="40" spans="1:3" hidden="1" x14ac:dyDescent="0.2">
      <c r="A40">
        <v>2015</v>
      </c>
      <c r="B40" t="s">
        <v>4</v>
      </c>
      <c r="C40">
        <v>31608</v>
      </c>
    </row>
    <row r="41" spans="1:3" hidden="1" x14ac:dyDescent="0.2">
      <c r="A41">
        <v>2016</v>
      </c>
      <c r="B41" t="s">
        <v>4</v>
      </c>
      <c r="C41">
        <v>31179</v>
      </c>
    </row>
    <row r="42" spans="1:3" hidden="1" x14ac:dyDescent="0.2">
      <c r="A42">
        <v>2017</v>
      </c>
      <c r="B42" t="s">
        <v>4</v>
      </c>
      <c r="C42">
        <v>33339</v>
      </c>
    </row>
    <row r="43" spans="1:3" hidden="1" x14ac:dyDescent="0.2">
      <c r="A43">
        <v>2018</v>
      </c>
      <c r="B43" t="s">
        <v>4</v>
      </c>
      <c r="C43">
        <v>33225</v>
      </c>
    </row>
    <row r="44" spans="1:3" hidden="1" x14ac:dyDescent="0.2">
      <c r="A44">
        <v>2019</v>
      </c>
      <c r="B44" t="s">
        <v>4</v>
      </c>
      <c r="C44">
        <v>34260</v>
      </c>
    </row>
    <row r="45" spans="1:3" hidden="1" x14ac:dyDescent="0.2">
      <c r="A45">
        <v>2020</v>
      </c>
      <c r="B45" t="s">
        <v>4</v>
      </c>
      <c r="C45">
        <v>32613</v>
      </c>
    </row>
    <row r="46" spans="1:3" hidden="1" x14ac:dyDescent="0.2">
      <c r="A46">
        <v>2021</v>
      </c>
      <c r="B46" t="s">
        <v>4</v>
      </c>
      <c r="C46">
        <v>34932</v>
      </c>
    </row>
    <row r="47" spans="1:3" hidden="1" x14ac:dyDescent="0.2">
      <c r="A47">
        <v>2022</v>
      </c>
      <c r="B47" t="s">
        <v>4</v>
      </c>
      <c r="C47">
        <v>38574</v>
      </c>
    </row>
    <row r="48" spans="1:3" hidden="1" x14ac:dyDescent="0.2">
      <c r="A48">
        <v>2000</v>
      </c>
      <c r="B48" t="s">
        <v>5</v>
      </c>
      <c r="C48">
        <v>29943</v>
      </c>
    </row>
    <row r="49" spans="1:3" hidden="1" x14ac:dyDescent="0.2">
      <c r="A49">
        <v>2001</v>
      </c>
      <c r="B49" t="s">
        <v>5</v>
      </c>
      <c r="C49">
        <v>27972</v>
      </c>
    </row>
    <row r="50" spans="1:3" hidden="1" x14ac:dyDescent="0.2">
      <c r="A50">
        <v>2002</v>
      </c>
      <c r="B50" t="s">
        <v>5</v>
      </c>
      <c r="C50">
        <v>25956</v>
      </c>
    </row>
    <row r="51" spans="1:3" hidden="1" x14ac:dyDescent="0.2">
      <c r="A51">
        <v>2003</v>
      </c>
      <c r="B51" t="s">
        <v>5</v>
      </c>
      <c r="C51">
        <v>28125</v>
      </c>
    </row>
    <row r="52" spans="1:3" hidden="1" x14ac:dyDescent="0.2">
      <c r="A52">
        <v>2004</v>
      </c>
      <c r="B52" t="s">
        <v>5</v>
      </c>
      <c r="C52">
        <v>29655</v>
      </c>
    </row>
    <row r="53" spans="1:3" hidden="1" x14ac:dyDescent="0.2">
      <c r="A53">
        <v>2005</v>
      </c>
      <c r="B53" t="s">
        <v>5</v>
      </c>
      <c r="C53">
        <v>30711</v>
      </c>
    </row>
    <row r="54" spans="1:3" hidden="1" x14ac:dyDescent="0.2">
      <c r="A54">
        <v>2006</v>
      </c>
      <c r="B54" t="s">
        <v>5</v>
      </c>
      <c r="C54">
        <v>30948</v>
      </c>
    </row>
    <row r="55" spans="1:3" hidden="1" x14ac:dyDescent="0.2">
      <c r="A55">
        <v>2007</v>
      </c>
      <c r="B55" t="s">
        <v>5</v>
      </c>
      <c r="C55">
        <v>35520</v>
      </c>
    </row>
    <row r="56" spans="1:3" hidden="1" x14ac:dyDescent="0.2">
      <c r="A56">
        <v>2008</v>
      </c>
      <c r="B56" t="s">
        <v>5</v>
      </c>
      <c r="C56">
        <v>35154</v>
      </c>
    </row>
    <row r="57" spans="1:3" hidden="1" x14ac:dyDescent="0.2">
      <c r="A57">
        <v>2009</v>
      </c>
      <c r="B57" t="s">
        <v>5</v>
      </c>
      <c r="C57">
        <v>33579</v>
      </c>
    </row>
    <row r="58" spans="1:3" hidden="1" x14ac:dyDescent="0.2">
      <c r="A58">
        <v>2010</v>
      </c>
      <c r="B58" t="s">
        <v>5</v>
      </c>
      <c r="C58">
        <v>35457</v>
      </c>
    </row>
    <row r="59" spans="1:3" hidden="1" x14ac:dyDescent="0.2">
      <c r="A59">
        <v>2011</v>
      </c>
      <c r="B59" t="s">
        <v>5</v>
      </c>
      <c r="C59">
        <v>31320</v>
      </c>
    </row>
    <row r="60" spans="1:3" hidden="1" x14ac:dyDescent="0.2">
      <c r="A60">
        <v>2012</v>
      </c>
      <c r="B60" t="s">
        <v>5</v>
      </c>
      <c r="C60">
        <v>31080</v>
      </c>
    </row>
    <row r="61" spans="1:3" hidden="1" x14ac:dyDescent="0.2">
      <c r="A61">
        <v>2013</v>
      </c>
      <c r="B61" t="s">
        <v>5</v>
      </c>
      <c r="C61">
        <v>29148</v>
      </c>
    </row>
    <row r="62" spans="1:3" hidden="1" x14ac:dyDescent="0.2">
      <c r="A62">
        <v>2014</v>
      </c>
      <c r="B62" t="s">
        <v>5</v>
      </c>
      <c r="C62">
        <v>26181</v>
      </c>
    </row>
    <row r="63" spans="1:3" hidden="1" x14ac:dyDescent="0.2">
      <c r="A63">
        <v>2015</v>
      </c>
      <c r="B63" t="s">
        <v>5</v>
      </c>
      <c r="C63">
        <v>29430</v>
      </c>
    </row>
    <row r="64" spans="1:3" hidden="1" x14ac:dyDescent="0.2">
      <c r="A64">
        <v>2016</v>
      </c>
      <c r="B64" t="s">
        <v>5</v>
      </c>
      <c r="C64">
        <v>28251</v>
      </c>
    </row>
    <row r="65" spans="1:3" hidden="1" x14ac:dyDescent="0.2">
      <c r="A65">
        <v>2017</v>
      </c>
      <c r="B65" t="s">
        <v>5</v>
      </c>
      <c r="C65">
        <v>26268</v>
      </c>
    </row>
    <row r="66" spans="1:3" hidden="1" x14ac:dyDescent="0.2">
      <c r="A66">
        <v>2018</v>
      </c>
      <c r="B66" t="s">
        <v>5</v>
      </c>
      <c r="C66">
        <v>24795</v>
      </c>
    </row>
    <row r="67" spans="1:3" hidden="1" x14ac:dyDescent="0.2">
      <c r="A67">
        <v>2019</v>
      </c>
      <c r="B67" t="s">
        <v>5</v>
      </c>
      <c r="C67">
        <v>25377</v>
      </c>
    </row>
    <row r="68" spans="1:3" hidden="1" x14ac:dyDescent="0.2">
      <c r="A68">
        <v>2020</v>
      </c>
      <c r="B68" t="s">
        <v>5</v>
      </c>
      <c r="C68">
        <v>24960</v>
      </c>
    </row>
    <row r="69" spans="1:3" hidden="1" x14ac:dyDescent="0.2">
      <c r="A69">
        <v>2021</v>
      </c>
      <c r="B69" t="s">
        <v>5</v>
      </c>
      <c r="C69">
        <v>23727</v>
      </c>
    </row>
    <row r="70" spans="1:3" hidden="1" x14ac:dyDescent="0.2">
      <c r="A70">
        <v>2022</v>
      </c>
      <c r="B70" t="s">
        <v>5</v>
      </c>
      <c r="C70">
        <v>20313</v>
      </c>
    </row>
  </sheetData>
  <autoFilter ref="A1:B70" xr:uid="{00000000-0001-0000-0100-000000000000}">
    <filterColumn colId="0">
      <filters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2"/>
      </filters>
    </filterColumn>
    <filterColumn colId="1">
      <filters>
        <filter val="Births"/>
      </filters>
    </filterColumn>
  </autoFilter>
  <sortState xmlns:xlrd2="http://schemas.microsoft.com/office/spreadsheetml/2017/richdata2" ref="A2:C70">
    <sortCondition ref="B2:B70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163"/>
  <sheetViews>
    <sheetView workbookViewId="0">
      <pane ySplit="1" topLeftCell="A2" activePane="bottomLeft" state="frozen"/>
      <selection pane="bottomLeft" activeCell="G3" sqref="G3"/>
    </sheetView>
  </sheetViews>
  <sheetFormatPr defaultRowHeight="15" x14ac:dyDescent="0.2"/>
  <cols>
    <col min="1" max="1" width="13.44921875" customWidth="1"/>
    <col min="2" max="2" width="13.98828125" customWidth="1"/>
    <col min="3" max="3" width="11.8359375" customWidth="1"/>
    <col min="4" max="4" width="19.50390625" customWidth="1"/>
    <col min="7" max="7" width="11.703125" customWidth="1"/>
  </cols>
  <sheetData>
    <row r="1" spans="1:7" x14ac:dyDescent="0.2">
      <c r="A1" t="s">
        <v>0</v>
      </c>
      <c r="B1" t="s">
        <v>6</v>
      </c>
      <c r="C1" t="s">
        <v>2</v>
      </c>
      <c r="D1" t="s">
        <v>16</v>
      </c>
      <c r="F1" t="s">
        <v>94</v>
      </c>
      <c r="G1" t="s">
        <v>95</v>
      </c>
    </row>
    <row r="2" spans="1:7" x14ac:dyDescent="0.2">
      <c r="A2">
        <v>2005</v>
      </c>
      <c r="B2" t="s">
        <v>7</v>
      </c>
      <c r="C2">
        <v>36</v>
      </c>
      <c r="D2">
        <f>_xlfn.XLOOKUP(D1,'age-specific-fertility-rates'!$A$1:$C$1,'age-specific-fertility-rates'!$A$2:$C$2)</f>
        <v>0.2</v>
      </c>
      <c r="F2">
        <v>15</v>
      </c>
      <c r="G2">
        <f>MEDIAN(F2:F9)</f>
        <v>29.5</v>
      </c>
    </row>
    <row r="3" spans="1:7" x14ac:dyDescent="0.2">
      <c r="A3">
        <v>2005</v>
      </c>
      <c r="B3" t="s">
        <v>8</v>
      </c>
      <c r="C3">
        <v>4098</v>
      </c>
      <c r="D3">
        <f>_xlfn.XLOOKUP(D1,'age-specific-fertility-rates'!$A$1:$C$1,'age-specific-fertility-rates'!$A$3:$C$3)</f>
        <v>27.2</v>
      </c>
      <c r="F3">
        <f>(15+19)/2</f>
        <v>17</v>
      </c>
    </row>
    <row r="4" spans="1:7" x14ac:dyDescent="0.2">
      <c r="A4">
        <v>2005</v>
      </c>
      <c r="B4" t="s">
        <v>9</v>
      </c>
      <c r="C4">
        <v>9708</v>
      </c>
      <c r="D4">
        <f>_xlfn.XLOOKUP(D1,'age-specific-fertility-rates'!$A$1:$C$1,'age-specific-fertility-rates'!$A$4:$C$4)</f>
        <v>67.599999999999994</v>
      </c>
      <c r="F4">
        <f>(20+24)/2</f>
        <v>22</v>
      </c>
    </row>
    <row r="5" spans="1:7" x14ac:dyDescent="0.2">
      <c r="A5">
        <v>2005</v>
      </c>
      <c r="B5" t="s">
        <v>10</v>
      </c>
      <c r="C5">
        <v>13797</v>
      </c>
      <c r="D5">
        <f>_xlfn.XLOOKUP(D1,'age-specific-fertility-rates'!$A$1:$C$1,'age-specific-fertility-rates'!$A$5:$C$5)</f>
        <v>104.9</v>
      </c>
      <c r="F5">
        <f>(25+29)/2</f>
        <v>27</v>
      </c>
    </row>
    <row r="6" spans="1:7" x14ac:dyDescent="0.2">
      <c r="A6">
        <v>2005</v>
      </c>
      <c r="B6" t="s">
        <v>11</v>
      </c>
      <c r="C6">
        <v>17976</v>
      </c>
      <c r="D6">
        <f>_xlfn.XLOOKUP($D$1,'age-specific-fertility-rates'!$A$1:$C$1,'age-specific-fertility-rates'!$A$6:$C$6)</f>
        <v>117.1</v>
      </c>
      <c r="F6">
        <f>(30+34)/2</f>
        <v>32</v>
      </c>
    </row>
    <row r="7" spans="1:7" x14ac:dyDescent="0.2">
      <c r="A7">
        <v>2005</v>
      </c>
      <c r="B7" t="s">
        <v>12</v>
      </c>
      <c r="C7">
        <v>10029</v>
      </c>
      <c r="D7">
        <f>_xlfn.XLOOKUP(D1,'age-specific-fertility-rates'!$A$1:$C$1,'age-specific-fertility-rates'!$A$7:$C$7)</f>
        <v>62.3</v>
      </c>
      <c r="F7">
        <f>(35+39)/2</f>
        <v>37</v>
      </c>
    </row>
    <row r="8" spans="1:7" x14ac:dyDescent="0.2">
      <c r="A8">
        <v>2005</v>
      </c>
      <c r="B8" t="s">
        <v>13</v>
      </c>
      <c r="C8">
        <v>2001</v>
      </c>
      <c r="D8">
        <f>_xlfn.XLOOKUP($D$1,'age-specific-fertility-rates'!$A$1:$C$1,'age-specific-fertility-rates'!$A$8:$C$8)</f>
        <v>12</v>
      </c>
      <c r="F8">
        <f>(40+44)/2</f>
        <v>42</v>
      </c>
    </row>
    <row r="9" spans="1:7" x14ac:dyDescent="0.2">
      <c r="A9">
        <v>2005</v>
      </c>
      <c r="B9" t="s">
        <v>14</v>
      </c>
      <c r="C9">
        <v>93</v>
      </c>
      <c r="D9">
        <f>_xlfn.XLOOKUP($D$1,'age-specific-fertility-rates'!$A$1:$C$1,'age-specific-fertility-rates'!$A$9:$C$9)</f>
        <v>0.6</v>
      </c>
      <c r="F9">
        <v>45</v>
      </c>
    </row>
    <row r="10" spans="1:7" hidden="1" x14ac:dyDescent="0.2">
      <c r="A10">
        <v>2005</v>
      </c>
      <c r="B10" t="s">
        <v>15</v>
      </c>
      <c r="C10">
        <v>57747</v>
      </c>
    </row>
    <row r="11" spans="1:7" x14ac:dyDescent="0.2">
      <c r="A11">
        <v>2006</v>
      </c>
      <c r="B11" t="s">
        <v>7</v>
      </c>
      <c r="C11">
        <v>36</v>
      </c>
      <c r="D11">
        <f>_xlfn.XLOOKUP($D$1,'age-specific-fertility-rates'!$A$1:$C$1,'age-specific-fertility-rates'!$A$10:$C$10)</f>
        <v>0.2</v>
      </c>
    </row>
    <row r="12" spans="1:7" x14ac:dyDescent="0.2">
      <c r="A12">
        <v>2006</v>
      </c>
      <c r="B12" t="s">
        <v>8</v>
      </c>
      <c r="C12">
        <v>4338</v>
      </c>
      <c r="D12">
        <f>_xlfn.XLOOKUP($D$1,'age-specific-fertility-rates'!$A$1:$C$1,'age-specific-fertility-rates'!$A$11:$C$11)</f>
        <v>28.1</v>
      </c>
    </row>
    <row r="13" spans="1:7" x14ac:dyDescent="0.2">
      <c r="A13">
        <v>2006</v>
      </c>
      <c r="B13" t="s">
        <v>9</v>
      </c>
      <c r="C13">
        <v>10308</v>
      </c>
      <c r="D13">
        <f>_xlfn.XLOOKUP($D$1,'age-specific-fertility-rates'!$A$1:$C$1,'age-specific-fertility-rates'!$A$12:$C$12)</f>
        <v>70.900000000000006</v>
      </c>
    </row>
    <row r="14" spans="1:7" x14ac:dyDescent="0.2">
      <c r="A14">
        <v>2006</v>
      </c>
      <c r="B14" t="s">
        <v>10</v>
      </c>
      <c r="C14">
        <v>14082</v>
      </c>
      <c r="D14">
        <f>_xlfn.XLOOKUP($D$1,'age-specific-fertility-rates'!$A$1:$C$1,'age-specific-fertility-rates'!$A$13:$C$13)</f>
        <v>105.2</v>
      </c>
    </row>
    <row r="15" spans="1:7" x14ac:dyDescent="0.2">
      <c r="A15">
        <v>2006</v>
      </c>
      <c r="B15" t="s">
        <v>11</v>
      </c>
      <c r="C15">
        <v>17868</v>
      </c>
      <c r="D15">
        <f>_xlfn.XLOOKUP($D$1,'age-specific-fertility-rates'!$A$1:$C$1,'age-specific-fertility-rates'!$A$14:$C$14)</f>
        <v>119.3</v>
      </c>
    </row>
    <row r="16" spans="1:7" x14ac:dyDescent="0.2">
      <c r="A16">
        <v>2006</v>
      </c>
      <c r="B16" t="s">
        <v>12</v>
      </c>
      <c r="C16">
        <v>10401</v>
      </c>
      <c r="D16">
        <f>_xlfn.XLOOKUP($D$1,'age-specific-fertility-rates'!$A$1:$C$1,'age-specific-fertility-rates'!$A$15:$C$15)</f>
        <v>63.7</v>
      </c>
    </row>
    <row r="17" spans="1:4" x14ac:dyDescent="0.2">
      <c r="A17">
        <v>2006</v>
      </c>
      <c r="B17" t="s">
        <v>13</v>
      </c>
      <c r="C17">
        <v>2052</v>
      </c>
      <c r="D17">
        <f>_xlfn.XLOOKUP($D$1,'age-specific-fertility-rates'!$A$1:$C$1,'age-specific-fertility-rates'!$A$16:$C$16)</f>
        <v>12.3</v>
      </c>
    </row>
    <row r="18" spans="1:4" x14ac:dyDescent="0.2">
      <c r="A18">
        <v>2006</v>
      </c>
      <c r="B18" t="s">
        <v>14</v>
      </c>
      <c r="C18">
        <v>108</v>
      </c>
      <c r="D18">
        <f>_xlfn.XLOOKUP($D$1,'age-specific-fertility-rates'!$A$1:$C$1,'age-specific-fertility-rates'!$A$17:$C$17)</f>
        <v>0.7</v>
      </c>
    </row>
    <row r="19" spans="1:4" hidden="1" x14ac:dyDescent="0.2">
      <c r="A19">
        <v>2006</v>
      </c>
      <c r="B19" t="s">
        <v>15</v>
      </c>
      <c r="C19">
        <v>59193</v>
      </c>
    </row>
    <row r="20" spans="1:4" x14ac:dyDescent="0.2">
      <c r="A20">
        <v>2007</v>
      </c>
      <c r="B20" t="s">
        <v>7</v>
      </c>
      <c r="C20">
        <v>51</v>
      </c>
      <c r="D20">
        <f>_xlfn.XLOOKUP($D$1,'age-specific-fertility-rates'!$A$1:$C$1,'age-specific-fertility-rates'!$A$18:$C$18)</f>
        <v>0.3</v>
      </c>
    </row>
    <row r="21" spans="1:4" x14ac:dyDescent="0.2">
      <c r="A21">
        <v>2007</v>
      </c>
      <c r="B21" t="s">
        <v>8</v>
      </c>
      <c r="C21">
        <v>4902</v>
      </c>
      <c r="D21">
        <f>_xlfn.XLOOKUP($D$1,'age-specific-fertility-rates'!$A$1:$C$1,'age-specific-fertility-rates'!$A$19:$C$19)</f>
        <v>31.4</v>
      </c>
    </row>
    <row r="22" spans="1:4" x14ac:dyDescent="0.2">
      <c r="A22">
        <v>2007</v>
      </c>
      <c r="B22" t="s">
        <v>9</v>
      </c>
      <c r="C22">
        <v>11094</v>
      </c>
      <c r="D22">
        <f>_xlfn.XLOOKUP($D$1,'age-specific-fertility-rates'!$A$1:$C$1,'age-specific-fertility-rates'!$A$20:$C$20)</f>
        <v>76.5</v>
      </c>
    </row>
    <row r="23" spans="1:4" x14ac:dyDescent="0.2">
      <c r="A23">
        <v>2007</v>
      </c>
      <c r="B23" t="s">
        <v>10</v>
      </c>
      <c r="C23">
        <v>15516</v>
      </c>
      <c r="D23">
        <f>_xlfn.XLOOKUP($D$1,'age-specific-fertility-rates'!$A$1:$C$1,'age-specific-fertility-rates'!$A$21:$C$21)</f>
        <v>114.2</v>
      </c>
    </row>
    <row r="24" spans="1:4" x14ac:dyDescent="0.2">
      <c r="A24">
        <v>2007</v>
      </c>
      <c r="B24" t="s">
        <v>11</v>
      </c>
      <c r="C24">
        <v>18498</v>
      </c>
      <c r="D24">
        <f>_xlfn.XLOOKUP($D$1,'age-specific-fertility-rates'!$A$1:$C$1,'age-specific-fertility-rates'!$A$22:$C$22)</f>
        <v>126.9</v>
      </c>
    </row>
    <row r="25" spans="1:4" x14ac:dyDescent="0.2">
      <c r="A25">
        <v>2007</v>
      </c>
      <c r="B25" t="s">
        <v>12</v>
      </c>
      <c r="C25">
        <v>11601</v>
      </c>
      <c r="D25">
        <f>_xlfn.XLOOKUP($D$1,'age-specific-fertility-rates'!$A$1:$C$1,'age-specific-fertility-rates'!$A$23:$C$23)</f>
        <v>70.3</v>
      </c>
    </row>
    <row r="26" spans="1:4" x14ac:dyDescent="0.2">
      <c r="A26">
        <v>2007</v>
      </c>
      <c r="B26" t="s">
        <v>13</v>
      </c>
      <c r="C26">
        <v>2268</v>
      </c>
      <c r="D26">
        <f>_xlfn.XLOOKUP($D$1,'age-specific-fertility-rates'!$A$1:$C$1,'age-specific-fertility-rates'!$A$24:$C$24)</f>
        <v>13.7</v>
      </c>
    </row>
    <row r="27" spans="1:4" x14ac:dyDescent="0.2">
      <c r="A27">
        <v>2007</v>
      </c>
      <c r="B27" t="s">
        <v>14</v>
      </c>
      <c r="C27">
        <v>111</v>
      </c>
      <c r="D27">
        <f>_xlfn.XLOOKUP($D$1,'age-specific-fertility-rates'!$A$1:$C$1,'age-specific-fertility-rates'!$A$25:$C$25)</f>
        <v>0.7</v>
      </c>
    </row>
    <row r="28" spans="1:4" hidden="1" x14ac:dyDescent="0.2">
      <c r="A28">
        <v>2007</v>
      </c>
      <c r="B28" t="s">
        <v>15</v>
      </c>
      <c r="C28">
        <v>64044</v>
      </c>
    </row>
    <row r="29" spans="1:4" x14ac:dyDescent="0.2">
      <c r="A29">
        <v>2008</v>
      </c>
      <c r="B29" t="s">
        <v>7</v>
      </c>
      <c r="C29">
        <v>39</v>
      </c>
      <c r="D29">
        <f>_xlfn.XLOOKUP($D$1,'age-specific-fertility-rates'!$A$1:$C$1,'age-specific-fertility-rates'!$A$26:$C$26)</f>
        <v>0.3</v>
      </c>
    </row>
    <row r="30" spans="1:4" x14ac:dyDescent="0.2">
      <c r="A30">
        <v>2008</v>
      </c>
      <c r="B30" t="s">
        <v>8</v>
      </c>
      <c r="C30">
        <v>5184</v>
      </c>
      <c r="D30">
        <f>_xlfn.XLOOKUP($D$1,'age-specific-fertility-rates'!$A$1:$C$1,'age-specific-fertility-rates'!$A$27:$C$27)</f>
        <v>33.1</v>
      </c>
    </row>
    <row r="31" spans="1:4" x14ac:dyDescent="0.2">
      <c r="A31">
        <v>2008</v>
      </c>
      <c r="B31" t="s">
        <v>9</v>
      </c>
      <c r="C31">
        <v>11493</v>
      </c>
      <c r="D31">
        <f>_xlfn.XLOOKUP($D$1,'age-specific-fertility-rates'!$A$1:$C$1,'age-specific-fertility-rates'!$A$28:$C$28)</f>
        <v>79.5</v>
      </c>
    </row>
    <row r="32" spans="1:4" x14ac:dyDescent="0.2">
      <c r="A32">
        <v>2008</v>
      </c>
      <c r="B32" t="s">
        <v>10</v>
      </c>
      <c r="C32">
        <v>15612</v>
      </c>
      <c r="D32">
        <f>_xlfn.XLOOKUP($D$1,'age-specific-fertility-rates'!$A$1:$C$1,'age-specific-fertility-rates'!$A$29:$C$29)</f>
        <v>113.4</v>
      </c>
    </row>
    <row r="33" spans="1:4" x14ac:dyDescent="0.2">
      <c r="A33">
        <v>2008</v>
      </c>
      <c r="B33" t="s">
        <v>11</v>
      </c>
      <c r="C33">
        <v>17823</v>
      </c>
      <c r="D33">
        <f>_xlfn.XLOOKUP($D$1,'age-specific-fertility-rates'!$A$1:$C$1,'age-specific-fertility-rates'!$A$30:$C$30)</f>
        <v>125.3</v>
      </c>
    </row>
    <row r="34" spans="1:4" x14ac:dyDescent="0.2">
      <c r="A34">
        <v>2008</v>
      </c>
      <c r="B34" t="s">
        <v>12</v>
      </c>
      <c r="C34">
        <v>11808</v>
      </c>
      <c r="D34">
        <f>_xlfn.XLOOKUP($D$1,'age-specific-fertility-rates'!$A$1:$C$1,'age-specific-fertility-rates'!$A$31:$C$31)</f>
        <v>71.599999999999994</v>
      </c>
    </row>
    <row r="35" spans="1:4" x14ac:dyDescent="0.2">
      <c r="A35">
        <v>2008</v>
      </c>
      <c r="B35" t="s">
        <v>13</v>
      </c>
      <c r="C35">
        <v>2262</v>
      </c>
      <c r="D35">
        <f>_xlfn.XLOOKUP($D$1,'age-specific-fertility-rates'!$A$1:$C$1,'age-specific-fertility-rates'!$A$32:$C$32)</f>
        <v>13.9</v>
      </c>
    </row>
    <row r="36" spans="1:4" x14ac:dyDescent="0.2">
      <c r="A36">
        <v>2008</v>
      </c>
      <c r="B36" t="s">
        <v>14</v>
      </c>
      <c r="C36">
        <v>120</v>
      </c>
      <c r="D36">
        <f>_xlfn.XLOOKUP($D$1,'age-specific-fertility-rates'!$A$1:$C$1,'age-specific-fertility-rates'!$A$33:$C$33)</f>
        <v>0.7</v>
      </c>
    </row>
    <row r="37" spans="1:4" hidden="1" x14ac:dyDescent="0.2">
      <c r="A37">
        <v>2008</v>
      </c>
      <c r="B37" t="s">
        <v>15</v>
      </c>
      <c r="C37">
        <v>64341</v>
      </c>
    </row>
    <row r="38" spans="1:4" x14ac:dyDescent="0.2">
      <c r="A38">
        <v>2009</v>
      </c>
      <c r="B38" t="s">
        <v>7</v>
      </c>
      <c r="C38">
        <v>30</v>
      </c>
      <c r="D38">
        <f>_xlfn.XLOOKUP($D$1,'age-specific-fertility-rates'!$A$1:$C$1,'age-specific-fertility-rates'!$A$34:$C$34)</f>
        <v>0.2</v>
      </c>
    </row>
    <row r="39" spans="1:4" x14ac:dyDescent="0.2">
      <c r="A39">
        <v>2009</v>
      </c>
      <c r="B39" t="s">
        <v>8</v>
      </c>
      <c r="C39">
        <v>4641</v>
      </c>
      <c r="D39">
        <f>_xlfn.XLOOKUP($D$1,'age-specific-fertility-rates'!$A$1:$C$1,'age-specific-fertility-rates'!$A$35:$C$35)</f>
        <v>29.6</v>
      </c>
    </row>
    <row r="40" spans="1:4" x14ac:dyDescent="0.2">
      <c r="A40">
        <v>2009</v>
      </c>
      <c r="B40" t="s">
        <v>9</v>
      </c>
      <c r="C40">
        <v>11502</v>
      </c>
      <c r="D40">
        <f>_xlfn.XLOOKUP($D$1,'age-specific-fertility-rates'!$A$1:$C$1,'age-specific-fertility-rates'!$A$36:$C$36)</f>
        <v>78.7</v>
      </c>
    </row>
    <row r="41" spans="1:4" x14ac:dyDescent="0.2">
      <c r="A41">
        <v>2009</v>
      </c>
      <c r="B41" t="s">
        <v>10</v>
      </c>
      <c r="C41">
        <v>15297</v>
      </c>
      <c r="D41">
        <f>_xlfn.XLOOKUP($D$1,'age-specific-fertility-rates'!$A$1:$C$1,'age-specific-fertility-rates'!$A$37:$C$37)</f>
        <v>109.7</v>
      </c>
    </row>
    <row r="42" spans="1:4" x14ac:dyDescent="0.2">
      <c r="A42">
        <v>2009</v>
      </c>
      <c r="B42" t="s">
        <v>11</v>
      </c>
      <c r="C42">
        <v>17304</v>
      </c>
      <c r="D42">
        <f>_xlfn.XLOOKUP($D$1,'age-specific-fertility-rates'!$A$1:$C$1,'age-specific-fertility-rates'!$A$38:$C$38)</f>
        <v>123.1</v>
      </c>
    </row>
    <row r="43" spans="1:4" x14ac:dyDescent="0.2">
      <c r="A43">
        <v>2009</v>
      </c>
      <c r="B43" t="s">
        <v>12</v>
      </c>
      <c r="C43">
        <v>11310</v>
      </c>
      <c r="D43">
        <f>_xlfn.XLOOKUP($D$1,'age-specific-fertility-rates'!$A$1:$C$1,'age-specific-fertility-rates'!$A$39:$C$39)</f>
        <v>69.400000000000006</v>
      </c>
    </row>
    <row r="44" spans="1:4" x14ac:dyDescent="0.2">
      <c r="A44">
        <v>2009</v>
      </c>
      <c r="B44" t="s">
        <v>13</v>
      </c>
      <c r="C44">
        <v>2355</v>
      </c>
      <c r="D44">
        <f>_xlfn.XLOOKUP($D$1,'age-specific-fertility-rates'!$A$1:$C$1,'age-specific-fertility-rates'!$A$40:$C$40)</f>
        <v>14.4</v>
      </c>
    </row>
    <row r="45" spans="1:4" x14ac:dyDescent="0.2">
      <c r="A45">
        <v>2009</v>
      </c>
      <c r="B45" t="s">
        <v>14</v>
      </c>
      <c r="C45">
        <v>102</v>
      </c>
      <c r="D45">
        <f>_xlfn.XLOOKUP($D$1,'age-specific-fertility-rates'!$A$1:$C$1,'age-specific-fertility-rates'!$A$41:$C$41)</f>
        <v>0.6</v>
      </c>
    </row>
    <row r="46" spans="1:4" hidden="1" x14ac:dyDescent="0.2">
      <c r="A46">
        <v>2009</v>
      </c>
      <c r="B46" t="s">
        <v>15</v>
      </c>
      <c r="C46">
        <v>62541</v>
      </c>
    </row>
    <row r="47" spans="1:4" x14ac:dyDescent="0.2">
      <c r="A47">
        <v>2010</v>
      </c>
      <c r="B47" t="s">
        <v>7</v>
      </c>
      <c r="C47">
        <v>24</v>
      </c>
      <c r="D47">
        <f>_xlfn.XLOOKUP($D$1,'age-specific-fertility-rates'!$A$1:$C$1,'age-specific-fertility-rates'!$A$42:$C$42)</f>
        <v>0.2</v>
      </c>
    </row>
    <row r="48" spans="1:4" x14ac:dyDescent="0.2">
      <c r="A48">
        <v>2010</v>
      </c>
      <c r="B48" t="s">
        <v>8</v>
      </c>
      <c r="C48">
        <v>4527</v>
      </c>
      <c r="D48">
        <f>_xlfn.XLOOKUP($D$1,'age-specific-fertility-rates'!$A$1:$C$1,'age-specific-fertility-rates'!$A$43:$C$43)</f>
        <v>29</v>
      </c>
    </row>
    <row r="49" spans="1:4" x14ac:dyDescent="0.2">
      <c r="A49">
        <v>2010</v>
      </c>
      <c r="B49" t="s">
        <v>9</v>
      </c>
      <c r="C49">
        <v>11805</v>
      </c>
      <c r="D49">
        <f>_xlfn.XLOOKUP($D$1,'age-specific-fertility-rates'!$A$1:$C$1,'age-specific-fertility-rates'!$A$44:$C$44)</f>
        <v>78.900000000000006</v>
      </c>
    </row>
    <row r="50" spans="1:4" x14ac:dyDescent="0.2">
      <c r="A50">
        <v>2010</v>
      </c>
      <c r="B50" t="s">
        <v>10</v>
      </c>
      <c r="C50">
        <v>15885</v>
      </c>
      <c r="D50">
        <f>_xlfn.XLOOKUP($D$1,'age-specific-fertility-rates'!$A$1:$C$1,'age-specific-fertility-rates'!$A$45:$C$45)</f>
        <v>112.7</v>
      </c>
    </row>
    <row r="51" spans="1:4" x14ac:dyDescent="0.2">
      <c r="A51">
        <v>2010</v>
      </c>
      <c r="B51" t="s">
        <v>11</v>
      </c>
      <c r="C51">
        <v>17712</v>
      </c>
      <c r="D51">
        <f>_xlfn.XLOOKUP($D$1,'age-specific-fertility-rates'!$A$1:$C$1,'age-specific-fertility-rates'!$A$46:$C$46)</f>
        <v>126.5</v>
      </c>
    </row>
    <row r="52" spans="1:4" x14ac:dyDescent="0.2">
      <c r="A52">
        <v>2010</v>
      </c>
      <c r="B52" t="s">
        <v>12</v>
      </c>
      <c r="C52">
        <v>11319</v>
      </c>
      <c r="D52">
        <f>_xlfn.XLOOKUP($D$1,'age-specific-fertility-rates'!$A$1:$C$1,'age-specific-fertility-rates'!$A$47:$C$47)</f>
        <v>70.7</v>
      </c>
    </row>
    <row r="53" spans="1:4" x14ac:dyDescent="0.2">
      <c r="A53">
        <v>2010</v>
      </c>
      <c r="B53" t="s">
        <v>13</v>
      </c>
      <c r="C53">
        <v>2490</v>
      </c>
      <c r="D53">
        <f>_xlfn.XLOOKUP($D$1,'age-specific-fertility-rates'!$A$1:$C$1,'age-specific-fertility-rates'!$A$48:$C$48)</f>
        <v>15.2</v>
      </c>
    </row>
    <row r="54" spans="1:4" x14ac:dyDescent="0.2">
      <c r="A54">
        <v>2010</v>
      </c>
      <c r="B54" t="s">
        <v>14</v>
      </c>
      <c r="C54">
        <v>132</v>
      </c>
      <c r="D54">
        <f>_xlfn.XLOOKUP($D$1,'age-specific-fertility-rates'!$A$1:$C$1,'age-specific-fertility-rates'!$A$49:$C$49)</f>
        <v>0.8</v>
      </c>
    </row>
    <row r="55" spans="1:4" hidden="1" x14ac:dyDescent="0.2">
      <c r="A55">
        <v>2010</v>
      </c>
      <c r="B55" t="s">
        <v>15</v>
      </c>
      <c r="C55">
        <v>63897</v>
      </c>
    </row>
    <row r="56" spans="1:4" x14ac:dyDescent="0.2">
      <c r="A56">
        <v>2011</v>
      </c>
      <c r="B56" t="s">
        <v>7</v>
      </c>
      <c r="C56">
        <v>27</v>
      </c>
      <c r="D56">
        <f>_xlfn.XLOOKUP($D$1,'age-specific-fertility-rates'!$A$1:$C$1,'age-specific-fertility-rates'!$A$50:$C$50)</f>
        <v>0.2</v>
      </c>
    </row>
    <row r="57" spans="1:4" x14ac:dyDescent="0.2">
      <c r="A57">
        <v>2011</v>
      </c>
      <c r="B57" t="s">
        <v>8</v>
      </c>
      <c r="C57">
        <v>3981</v>
      </c>
      <c r="D57">
        <f>_xlfn.XLOOKUP($D$1,'age-specific-fertility-rates'!$A$1:$C$1,'age-specific-fertility-rates'!$A$51:$C$51)</f>
        <v>25.8</v>
      </c>
    </row>
    <row r="58" spans="1:4" x14ac:dyDescent="0.2">
      <c r="A58">
        <v>2011</v>
      </c>
      <c r="B58" t="s">
        <v>9</v>
      </c>
      <c r="C58">
        <v>11394</v>
      </c>
      <c r="D58">
        <f>_xlfn.XLOOKUP($D$1,'age-specific-fertility-rates'!$A$1:$C$1,'age-specific-fertility-rates'!$A$52:$C$52)</f>
        <v>74.400000000000006</v>
      </c>
    </row>
    <row r="59" spans="1:4" x14ac:dyDescent="0.2">
      <c r="A59">
        <v>2011</v>
      </c>
      <c r="B59" t="s">
        <v>10</v>
      </c>
      <c r="C59">
        <v>15402</v>
      </c>
      <c r="D59">
        <f>_xlfn.XLOOKUP($D$1,'age-specific-fertility-rates'!$A$1:$C$1,'age-specific-fertility-rates'!$A$53:$C$53)</f>
        <v>109.1</v>
      </c>
    </row>
    <row r="60" spans="1:4" x14ac:dyDescent="0.2">
      <c r="A60">
        <v>2011</v>
      </c>
      <c r="B60" t="s">
        <v>11</v>
      </c>
      <c r="C60">
        <v>17202</v>
      </c>
      <c r="D60">
        <f>_xlfn.XLOOKUP($D$1,'age-specific-fertility-rates'!$A$1:$C$1,'age-specific-fertility-rates'!$A$54:$C$54)</f>
        <v>122.7</v>
      </c>
    </row>
    <row r="61" spans="1:4" x14ac:dyDescent="0.2">
      <c r="A61">
        <v>2011</v>
      </c>
      <c r="B61" t="s">
        <v>12</v>
      </c>
      <c r="C61">
        <v>10854</v>
      </c>
      <c r="D61">
        <f>_xlfn.XLOOKUP($D$1,'age-specific-fertility-rates'!$A$1:$C$1,'age-specific-fertility-rates'!$A$55:$C$55)</f>
        <v>70.2</v>
      </c>
    </row>
    <row r="62" spans="1:4" x14ac:dyDescent="0.2">
      <c r="A62">
        <v>2011</v>
      </c>
      <c r="B62" t="s">
        <v>13</v>
      </c>
      <c r="C62">
        <v>2415</v>
      </c>
      <c r="D62">
        <f>_xlfn.XLOOKUP($D$1,'age-specific-fertility-rates'!$A$1:$C$1,'age-specific-fertility-rates'!$A$56:$C$56)</f>
        <v>14.6</v>
      </c>
    </row>
    <row r="63" spans="1:4" x14ac:dyDescent="0.2">
      <c r="A63">
        <v>2011</v>
      </c>
      <c r="B63" t="s">
        <v>14</v>
      </c>
      <c r="C63">
        <v>129</v>
      </c>
      <c r="D63">
        <f>_xlfn.XLOOKUP($D$1,'age-specific-fertility-rates'!$A$1:$C$1,'age-specific-fertility-rates'!$A$57:$C$57)</f>
        <v>0.8</v>
      </c>
    </row>
    <row r="64" spans="1:4" hidden="1" x14ac:dyDescent="0.2">
      <c r="A64">
        <v>2011</v>
      </c>
      <c r="B64" t="s">
        <v>15</v>
      </c>
      <c r="C64">
        <v>61401</v>
      </c>
    </row>
    <row r="65" spans="1:4" x14ac:dyDescent="0.2">
      <c r="A65">
        <v>2012</v>
      </c>
      <c r="B65" t="s">
        <v>7</v>
      </c>
      <c r="C65">
        <v>18</v>
      </c>
      <c r="D65">
        <f>_xlfn.XLOOKUP($D$1,'age-specific-fertility-rates'!$A$1:$C$1,'age-specific-fertility-rates'!$A$58:$C$58)</f>
        <v>0.1</v>
      </c>
    </row>
    <row r="66" spans="1:4" x14ac:dyDescent="0.2">
      <c r="A66">
        <v>2012</v>
      </c>
      <c r="B66" t="s">
        <v>8</v>
      </c>
      <c r="C66">
        <v>3768</v>
      </c>
      <c r="D66">
        <f>_xlfn.XLOOKUP($D$1,'age-specific-fertility-rates'!$A$1:$C$1,'age-specific-fertility-rates'!$A$59:$C$59)</f>
        <v>24.6</v>
      </c>
    </row>
    <row r="67" spans="1:4" x14ac:dyDescent="0.2">
      <c r="A67">
        <v>2012</v>
      </c>
      <c r="B67" t="s">
        <v>9</v>
      </c>
      <c r="C67">
        <v>11301</v>
      </c>
      <c r="D67">
        <f>_xlfn.XLOOKUP($D$1,'age-specific-fertility-rates'!$A$1:$C$1,'age-specific-fertility-rates'!$A$60:$C$60)</f>
        <v>73.099999999999994</v>
      </c>
    </row>
    <row r="68" spans="1:4" x14ac:dyDescent="0.2">
      <c r="A68">
        <v>2012</v>
      </c>
      <c r="B68" t="s">
        <v>10</v>
      </c>
      <c r="C68">
        <v>15615</v>
      </c>
      <c r="D68">
        <f>_xlfn.XLOOKUP($D$1,'age-specific-fertility-rates'!$A$1:$C$1,'age-specific-fertility-rates'!$A$61:$C$61)</f>
        <v>110.7</v>
      </c>
    </row>
    <row r="69" spans="1:4" x14ac:dyDescent="0.2">
      <c r="A69">
        <v>2012</v>
      </c>
      <c r="B69" t="s">
        <v>11</v>
      </c>
      <c r="C69">
        <v>17472</v>
      </c>
      <c r="D69">
        <f>_xlfn.XLOOKUP($D$1,'age-specific-fertility-rates'!$A$1:$C$1,'age-specific-fertility-rates'!$A$62:$C$62)</f>
        <v>124.4</v>
      </c>
    </row>
    <row r="70" spans="1:4" x14ac:dyDescent="0.2">
      <c r="A70">
        <v>2012</v>
      </c>
      <c r="B70" t="s">
        <v>12</v>
      </c>
      <c r="C70">
        <v>10371</v>
      </c>
      <c r="D70">
        <f>_xlfn.XLOOKUP($D$1,'age-specific-fertility-rates'!$A$1:$C$1,'age-specific-fertility-rates'!$A$63:$C$63)</f>
        <v>69.5</v>
      </c>
    </row>
    <row r="71" spans="1:4" x14ac:dyDescent="0.2">
      <c r="A71">
        <v>2012</v>
      </c>
      <c r="B71" t="s">
        <v>13</v>
      </c>
      <c r="C71">
        <v>2523</v>
      </c>
      <c r="D71">
        <f>_xlfn.XLOOKUP($D$1,'age-specific-fertility-rates'!$A$1:$C$1,'age-specific-fertility-rates'!$A$64:$C$64)</f>
        <v>15.1</v>
      </c>
    </row>
    <row r="72" spans="1:4" x14ac:dyDescent="0.2">
      <c r="A72">
        <v>2012</v>
      </c>
      <c r="B72" t="s">
        <v>14</v>
      </c>
      <c r="C72">
        <v>111</v>
      </c>
      <c r="D72">
        <f>_xlfn.XLOOKUP($D$1,'age-specific-fertility-rates'!$A$1:$C$1,'age-specific-fertility-rates'!$A$65:$C$65)</f>
        <v>0.7</v>
      </c>
    </row>
    <row r="73" spans="1:4" hidden="1" x14ac:dyDescent="0.2">
      <c r="A73">
        <v>2012</v>
      </c>
      <c r="B73" t="s">
        <v>15</v>
      </c>
      <c r="C73">
        <v>61176</v>
      </c>
    </row>
    <row r="74" spans="1:4" x14ac:dyDescent="0.2">
      <c r="A74">
        <v>2013</v>
      </c>
      <c r="B74" t="s">
        <v>7</v>
      </c>
      <c r="C74">
        <v>21</v>
      </c>
      <c r="D74">
        <f>_xlfn.XLOOKUP($D$1,'age-specific-fertility-rates'!$A$1:$C$1,'age-specific-fertility-rates'!$A$66:$C$66)</f>
        <v>0.1</v>
      </c>
    </row>
    <row r="75" spans="1:4" x14ac:dyDescent="0.2">
      <c r="A75">
        <v>2013</v>
      </c>
      <c r="B75" t="s">
        <v>8</v>
      </c>
      <c r="C75">
        <v>3282</v>
      </c>
      <c r="D75">
        <f>_xlfn.XLOOKUP($D$1,'age-specific-fertility-rates'!$A$1:$C$1,'age-specific-fertility-rates'!$A$67:$C$67)</f>
        <v>21.6</v>
      </c>
    </row>
    <row r="76" spans="1:4" x14ac:dyDescent="0.2">
      <c r="A76">
        <v>2013</v>
      </c>
      <c r="B76" t="s">
        <v>9</v>
      </c>
      <c r="C76">
        <v>10695</v>
      </c>
      <c r="D76">
        <f>_xlfn.XLOOKUP($D$1,'age-specific-fertility-rates'!$A$1:$C$1,'age-specific-fertility-rates'!$A$68:$C$68)</f>
        <v>68.5</v>
      </c>
    </row>
    <row r="77" spans="1:4" x14ac:dyDescent="0.2">
      <c r="A77">
        <v>2013</v>
      </c>
      <c r="B77" t="s">
        <v>10</v>
      </c>
      <c r="C77">
        <v>15258</v>
      </c>
      <c r="D77">
        <f>_xlfn.XLOOKUP($D$1,'age-specific-fertility-rates'!$A$1:$C$1,'age-specific-fertility-rates'!$A$69:$C$69)</f>
        <v>106.8</v>
      </c>
    </row>
    <row r="78" spans="1:4" x14ac:dyDescent="0.2">
      <c r="A78">
        <v>2013</v>
      </c>
      <c r="B78" t="s">
        <v>11</v>
      </c>
      <c r="C78">
        <v>16758</v>
      </c>
      <c r="D78">
        <f>_xlfn.XLOOKUP($D$1,'age-specific-fertility-rates'!$A$1:$C$1,'age-specific-fertility-rates'!$A$70:$C$70)</f>
        <v>118.1</v>
      </c>
    </row>
    <row r="79" spans="1:4" x14ac:dyDescent="0.2">
      <c r="A79">
        <v>2013</v>
      </c>
      <c r="B79" t="s">
        <v>12</v>
      </c>
      <c r="C79">
        <v>10128</v>
      </c>
      <c r="D79">
        <f>_xlfn.XLOOKUP($D$1,'age-specific-fertility-rates'!$A$1:$C$1,'age-specific-fertility-rates'!$A$71:$C$71)</f>
        <v>69.8</v>
      </c>
    </row>
    <row r="80" spans="1:4" x14ac:dyDescent="0.2">
      <c r="A80">
        <v>2013</v>
      </c>
      <c r="B80" t="s">
        <v>13</v>
      </c>
      <c r="C80">
        <v>2439</v>
      </c>
      <c r="D80">
        <f>_xlfn.XLOOKUP($D$1,'age-specific-fertility-rates'!$A$1:$C$1,'age-specific-fertility-rates'!$A$72:$C$72)</f>
        <v>14.6</v>
      </c>
    </row>
    <row r="81" spans="1:4" x14ac:dyDescent="0.2">
      <c r="A81">
        <v>2013</v>
      </c>
      <c r="B81" t="s">
        <v>14</v>
      </c>
      <c r="C81">
        <v>144</v>
      </c>
      <c r="D81">
        <f>_xlfn.XLOOKUP($D$1,'age-specific-fertility-rates'!$A$1:$C$1,'age-specific-fertility-rates'!$A$73:$C$73)</f>
        <v>0.9</v>
      </c>
    </row>
    <row r="82" spans="1:4" hidden="1" x14ac:dyDescent="0.2">
      <c r="A82">
        <v>2013</v>
      </c>
      <c r="B82" t="s">
        <v>15</v>
      </c>
      <c r="C82">
        <v>58716</v>
      </c>
    </row>
    <row r="83" spans="1:4" x14ac:dyDescent="0.2">
      <c r="A83">
        <v>2014</v>
      </c>
      <c r="B83" t="s">
        <v>7</v>
      </c>
      <c r="C83">
        <v>27</v>
      </c>
      <c r="D83">
        <f>_xlfn.XLOOKUP($D$1,'age-specific-fertility-rates'!$A$1:$C$1,'age-specific-fertility-rates'!$A$74:$C$74)</f>
        <v>0.2</v>
      </c>
    </row>
    <row r="84" spans="1:4" x14ac:dyDescent="0.2">
      <c r="A84">
        <v>2014</v>
      </c>
      <c r="B84" t="s">
        <v>8</v>
      </c>
      <c r="C84">
        <v>2895</v>
      </c>
      <c r="D84">
        <f>_xlfn.XLOOKUP($D$1,'age-specific-fertility-rates'!$A$1:$C$1,'age-specific-fertility-rates'!$A$75:$C$75)</f>
        <v>19</v>
      </c>
    </row>
    <row r="85" spans="1:4" x14ac:dyDescent="0.2">
      <c r="A85">
        <v>2014</v>
      </c>
      <c r="B85" t="s">
        <v>9</v>
      </c>
      <c r="C85">
        <v>9915</v>
      </c>
      <c r="D85">
        <f>_xlfn.XLOOKUP($D$1,'age-specific-fertility-rates'!$A$1:$C$1,'age-specific-fertility-rates'!$A$76:$C$76)</f>
        <v>62.4</v>
      </c>
    </row>
    <row r="86" spans="1:4" x14ac:dyDescent="0.2">
      <c r="A86">
        <v>2014</v>
      </c>
      <c r="B86" t="s">
        <v>10</v>
      </c>
      <c r="C86">
        <v>15210</v>
      </c>
      <c r="D86">
        <f>_xlfn.XLOOKUP($D$1,'age-specific-fertility-rates'!$A$1:$C$1,'age-specific-fertility-rates'!$A$77:$C$77)</f>
        <v>102.3</v>
      </c>
    </row>
    <row r="87" spans="1:4" x14ac:dyDescent="0.2">
      <c r="A87">
        <v>2014</v>
      </c>
      <c r="B87" t="s">
        <v>11</v>
      </c>
      <c r="C87">
        <v>17199</v>
      </c>
      <c r="D87">
        <f>_xlfn.XLOOKUP($D$1,'age-specific-fertility-rates'!$A$1:$C$1,'age-specific-fertility-rates'!$A$78:$C$78)</f>
        <v>118.6</v>
      </c>
    </row>
    <row r="88" spans="1:4" x14ac:dyDescent="0.2">
      <c r="A88">
        <v>2014</v>
      </c>
      <c r="B88" t="s">
        <v>12</v>
      </c>
      <c r="C88">
        <v>9534</v>
      </c>
      <c r="D88">
        <f>_xlfn.XLOOKUP($D$1,'age-specific-fertility-rates'!$A$1:$C$1,'age-specific-fertility-rates'!$A$79:$C$79)</f>
        <v>66.400000000000006</v>
      </c>
    </row>
    <row r="89" spans="1:4" x14ac:dyDescent="0.2">
      <c r="A89">
        <v>2014</v>
      </c>
      <c r="B89" t="s">
        <v>13</v>
      </c>
      <c r="C89">
        <v>2343</v>
      </c>
      <c r="D89">
        <f>_xlfn.XLOOKUP($D$1,'age-specific-fertility-rates'!$A$1:$C$1,'age-specific-fertility-rates'!$A$80:$C$80)</f>
        <v>14.2</v>
      </c>
    </row>
    <row r="90" spans="1:4" x14ac:dyDescent="0.2">
      <c r="A90">
        <v>2014</v>
      </c>
      <c r="B90" t="s">
        <v>14</v>
      </c>
      <c r="C90">
        <v>117</v>
      </c>
      <c r="D90">
        <f>_xlfn.XLOOKUP($D$1,'age-specific-fertility-rates'!$A$1:$C$1,'age-specific-fertility-rates'!$A$81:$C$81)</f>
        <v>0.7</v>
      </c>
    </row>
    <row r="91" spans="1:4" hidden="1" x14ac:dyDescent="0.2">
      <c r="A91">
        <v>2014</v>
      </c>
      <c r="B91" t="s">
        <v>15</v>
      </c>
      <c r="C91">
        <v>57243</v>
      </c>
    </row>
    <row r="92" spans="1:4" x14ac:dyDescent="0.2">
      <c r="A92">
        <v>2015</v>
      </c>
      <c r="B92" t="s">
        <v>7</v>
      </c>
      <c r="C92">
        <v>24</v>
      </c>
      <c r="D92">
        <f>_xlfn.XLOOKUP($D$1,'age-specific-fertility-rates'!$A$1:$C$1,'age-specific-fertility-rates'!$A$82:$C$82)</f>
        <v>0.2</v>
      </c>
    </row>
    <row r="93" spans="1:4" x14ac:dyDescent="0.2">
      <c r="A93">
        <v>2015</v>
      </c>
      <c r="B93" t="s">
        <v>8</v>
      </c>
      <c r="C93">
        <v>2841</v>
      </c>
      <c r="D93">
        <f>_xlfn.XLOOKUP($D$1,'age-specific-fertility-rates'!$A$1:$C$1,'age-specific-fertility-rates'!$A$83:$C$83)</f>
        <v>18.600000000000001</v>
      </c>
    </row>
    <row r="94" spans="1:4" x14ac:dyDescent="0.2">
      <c r="A94">
        <v>2015</v>
      </c>
      <c r="B94" t="s">
        <v>9</v>
      </c>
      <c r="C94">
        <v>10458</v>
      </c>
      <c r="D94">
        <f>_xlfn.XLOOKUP($D$1,'age-specific-fertility-rates'!$A$1:$C$1,'age-specific-fertility-rates'!$A$84:$C$84)</f>
        <v>64.7</v>
      </c>
    </row>
    <row r="95" spans="1:4" x14ac:dyDescent="0.2">
      <c r="A95">
        <v>2015</v>
      </c>
      <c r="B95" t="s">
        <v>10</v>
      </c>
      <c r="C95">
        <v>16350</v>
      </c>
      <c r="D95">
        <f>_xlfn.XLOOKUP($D$1,'age-specific-fertility-rates'!$A$1:$C$1,'age-specific-fertility-rates'!$A$85:$C$85)</f>
        <v>103.8</v>
      </c>
    </row>
    <row r="96" spans="1:4" x14ac:dyDescent="0.2">
      <c r="A96">
        <v>2015</v>
      </c>
      <c r="B96" t="s">
        <v>11</v>
      </c>
      <c r="C96">
        <v>18597</v>
      </c>
      <c r="D96">
        <f>_xlfn.XLOOKUP($D$1,'age-specific-fertility-rates'!$A$1:$C$1,'age-specific-fertility-rates'!$A$86:$C$86)</f>
        <v>124.1</v>
      </c>
    </row>
    <row r="97" spans="1:4" x14ac:dyDescent="0.2">
      <c r="A97">
        <v>2015</v>
      </c>
      <c r="B97" t="s">
        <v>12</v>
      </c>
      <c r="C97">
        <v>10230</v>
      </c>
      <c r="D97">
        <f>_xlfn.XLOOKUP($D$1,'age-specific-fertility-rates'!$A$1:$C$1,'age-specific-fertility-rates'!$A$87:$C$87)</f>
        <v>70.8</v>
      </c>
    </row>
    <row r="98" spans="1:4" x14ac:dyDescent="0.2">
      <c r="A98">
        <v>2015</v>
      </c>
      <c r="B98" t="s">
        <v>13</v>
      </c>
      <c r="C98">
        <v>2382</v>
      </c>
      <c r="D98">
        <f>_xlfn.XLOOKUP($D$1,'age-specific-fertility-rates'!$A$1:$C$1,'age-specific-fertility-rates'!$A$88:$C$88)</f>
        <v>14.6</v>
      </c>
    </row>
    <row r="99" spans="1:4" x14ac:dyDescent="0.2">
      <c r="A99">
        <v>2015</v>
      </c>
      <c r="B99" t="s">
        <v>14</v>
      </c>
      <c r="C99">
        <v>159</v>
      </c>
      <c r="D99">
        <f>_xlfn.XLOOKUP($D$1,'age-specific-fertility-rates'!$A$1:$C$1,'age-specific-fertility-rates'!$A$89:$C$89)</f>
        <v>1</v>
      </c>
    </row>
    <row r="100" spans="1:4" hidden="1" x14ac:dyDescent="0.2">
      <c r="A100">
        <v>2015</v>
      </c>
      <c r="B100" t="s">
        <v>15</v>
      </c>
      <c r="C100">
        <v>61038</v>
      </c>
    </row>
    <row r="101" spans="1:4" x14ac:dyDescent="0.2">
      <c r="A101">
        <v>2016</v>
      </c>
      <c r="B101" t="s">
        <v>7</v>
      </c>
      <c r="C101">
        <v>15</v>
      </c>
      <c r="D101">
        <f>_xlfn.XLOOKUP($D$1,'age-specific-fertility-rates'!$A$1:$C$1,'age-specific-fertility-rates'!$A$90:$C$90)</f>
        <v>0.1</v>
      </c>
    </row>
    <row r="102" spans="1:4" x14ac:dyDescent="0.2">
      <c r="A102">
        <v>2016</v>
      </c>
      <c r="B102" t="s">
        <v>8</v>
      </c>
      <c r="C102">
        <v>2466</v>
      </c>
      <c r="D102">
        <f>_xlfn.XLOOKUP($D$1,'age-specific-fertility-rates'!$A$1:$C$1,'age-specific-fertility-rates'!$A$91:$C$91)</f>
        <v>16</v>
      </c>
    </row>
    <row r="103" spans="1:4" x14ac:dyDescent="0.2">
      <c r="A103">
        <v>2016</v>
      </c>
      <c r="B103" t="s">
        <v>9</v>
      </c>
      <c r="C103">
        <v>9636</v>
      </c>
      <c r="D103">
        <f>_xlfn.XLOOKUP($D$1,'age-specific-fertility-rates'!$A$1:$C$1,'age-specific-fertility-rates'!$A$92:$C$92)</f>
        <v>58.9</v>
      </c>
    </row>
    <row r="104" spans="1:4" x14ac:dyDescent="0.2">
      <c r="A104">
        <v>2016</v>
      </c>
      <c r="B104" t="s">
        <v>10</v>
      </c>
      <c r="C104">
        <v>16362</v>
      </c>
      <c r="D104">
        <f>_xlfn.XLOOKUP($D$1,'age-specific-fertility-rates'!$A$1:$C$1,'age-specific-fertility-rates'!$A$93:$C$93)</f>
        <v>97.3</v>
      </c>
    </row>
    <row r="105" spans="1:4" x14ac:dyDescent="0.2">
      <c r="A105">
        <v>2016</v>
      </c>
      <c r="B105" t="s">
        <v>11</v>
      </c>
      <c r="C105">
        <v>18531</v>
      </c>
      <c r="D105">
        <f>_xlfn.XLOOKUP($D$1,'age-specific-fertility-rates'!$A$1:$C$1,'age-specific-fertility-rates'!$A$94:$C$94)</f>
        <v>118.6</v>
      </c>
    </row>
    <row r="106" spans="1:4" x14ac:dyDescent="0.2">
      <c r="A106">
        <v>2016</v>
      </c>
      <c r="B106" t="s">
        <v>12</v>
      </c>
      <c r="C106">
        <v>10011</v>
      </c>
      <c r="D106">
        <f>_xlfn.XLOOKUP($D$1,'age-specific-fertility-rates'!$A$1:$C$1,'age-specific-fertility-rates'!$A$95:$C$95)</f>
        <v>67.8</v>
      </c>
    </row>
    <row r="107" spans="1:4" x14ac:dyDescent="0.2">
      <c r="A107">
        <v>2016</v>
      </c>
      <c r="B107" t="s">
        <v>13</v>
      </c>
      <c r="C107">
        <v>2283</v>
      </c>
      <c r="D107">
        <f>_xlfn.XLOOKUP($D$1,'age-specific-fertility-rates'!$A$1:$C$1,'age-specific-fertility-rates'!$A$96:$C$96)</f>
        <v>14.3</v>
      </c>
    </row>
    <row r="108" spans="1:4" x14ac:dyDescent="0.2">
      <c r="A108">
        <v>2016</v>
      </c>
      <c r="B108" t="s">
        <v>14</v>
      </c>
      <c r="C108">
        <v>126</v>
      </c>
      <c r="D108">
        <f>_xlfn.XLOOKUP($D$1,'age-specific-fertility-rates'!$A$1:$C$1,'age-specific-fertility-rates'!$A$97:$C$97)</f>
        <v>0.8</v>
      </c>
    </row>
    <row r="109" spans="1:4" hidden="1" x14ac:dyDescent="0.2">
      <c r="A109">
        <v>2016</v>
      </c>
      <c r="B109" t="s">
        <v>15</v>
      </c>
      <c r="C109">
        <v>59427</v>
      </c>
    </row>
    <row r="110" spans="1:4" x14ac:dyDescent="0.2">
      <c r="A110">
        <v>2017</v>
      </c>
      <c r="B110" t="s">
        <v>7</v>
      </c>
      <c r="C110">
        <v>18</v>
      </c>
      <c r="D110">
        <f>_xlfn.XLOOKUP($D$1,'age-specific-fertility-rates'!$A$1:$C$1,'age-specific-fertility-rates'!$A$98:$C$98)</f>
        <v>0.1</v>
      </c>
    </row>
    <row r="111" spans="1:4" x14ac:dyDescent="0.2">
      <c r="A111">
        <v>2017</v>
      </c>
      <c r="B111" t="s">
        <v>8</v>
      </c>
      <c r="C111">
        <v>2298</v>
      </c>
      <c r="D111">
        <f>_xlfn.XLOOKUP($D$1,'age-specific-fertility-rates'!$A$1:$C$1,'age-specific-fertility-rates'!$A$99:$C$99)</f>
        <v>14.9</v>
      </c>
    </row>
    <row r="112" spans="1:4" x14ac:dyDescent="0.2">
      <c r="A112">
        <v>2017</v>
      </c>
      <c r="B112" t="s">
        <v>9</v>
      </c>
      <c r="C112">
        <v>9387</v>
      </c>
      <c r="D112">
        <f>_xlfn.XLOOKUP($D$1,'age-specific-fertility-rates'!$A$1:$C$1,'age-specific-fertility-rates'!$A$100:$C$100)</f>
        <v>57.3</v>
      </c>
    </row>
    <row r="113" spans="1:4" x14ac:dyDescent="0.2">
      <c r="A113">
        <v>2017</v>
      </c>
      <c r="B113" t="s">
        <v>10</v>
      </c>
      <c r="C113">
        <v>16737</v>
      </c>
      <c r="D113">
        <f>_xlfn.XLOOKUP($D$1,'age-specific-fertility-rates'!$A$1:$C$1,'age-specific-fertility-rates'!$A$101:$C$101)</f>
        <v>94.6</v>
      </c>
    </row>
    <row r="114" spans="1:4" x14ac:dyDescent="0.2">
      <c r="A114">
        <v>2017</v>
      </c>
      <c r="B114" t="s">
        <v>11</v>
      </c>
      <c r="C114">
        <v>18795</v>
      </c>
      <c r="D114">
        <f>_xlfn.XLOOKUP($D$1,'age-specific-fertility-rates'!$A$1:$C$1,'age-specific-fertility-rates'!$A$102:$C$102)</f>
        <v>115.1</v>
      </c>
    </row>
    <row r="115" spans="1:4" x14ac:dyDescent="0.2">
      <c r="A115">
        <v>2017</v>
      </c>
      <c r="B115" t="s">
        <v>12</v>
      </c>
      <c r="C115">
        <v>9933</v>
      </c>
      <c r="D115">
        <f>_xlfn.XLOOKUP($D$1,'age-specific-fertility-rates'!$A$1:$C$1,'age-specific-fertility-rates'!$A$103:$C$103)</f>
        <v>65.3</v>
      </c>
    </row>
    <row r="116" spans="1:4" x14ac:dyDescent="0.2">
      <c r="A116">
        <v>2017</v>
      </c>
      <c r="B116" t="s">
        <v>13</v>
      </c>
      <c r="C116">
        <v>2292</v>
      </c>
      <c r="D116">
        <f>_xlfn.XLOOKUP($D$1,'age-specific-fertility-rates'!$A$1:$C$1,'age-specific-fertility-rates'!$A$104:$C$104)</f>
        <v>14.7</v>
      </c>
    </row>
    <row r="117" spans="1:4" x14ac:dyDescent="0.2">
      <c r="A117">
        <v>2017</v>
      </c>
      <c r="B117" t="s">
        <v>14</v>
      </c>
      <c r="C117">
        <v>150</v>
      </c>
      <c r="D117">
        <f>_xlfn.XLOOKUP($D$1,'age-specific-fertility-rates'!$A$1:$C$1,'age-specific-fertility-rates'!$A$105:$C$105)</f>
        <v>0.9</v>
      </c>
    </row>
    <row r="118" spans="1:4" hidden="1" x14ac:dyDescent="0.2">
      <c r="A118">
        <v>2017</v>
      </c>
      <c r="B118" t="s">
        <v>15</v>
      </c>
      <c r="C118">
        <v>59610</v>
      </c>
    </row>
    <row r="119" spans="1:4" x14ac:dyDescent="0.2">
      <c r="A119">
        <v>2018</v>
      </c>
      <c r="B119" t="s">
        <v>7</v>
      </c>
      <c r="C119">
        <v>15</v>
      </c>
      <c r="D119">
        <f>_xlfn.XLOOKUP($D$1,'age-specific-fertility-rates'!$A$1:$C$1,'age-specific-fertility-rates'!$A$106:$C$106)</f>
        <v>0.1</v>
      </c>
    </row>
    <row r="120" spans="1:4" x14ac:dyDescent="0.2">
      <c r="A120">
        <v>2018</v>
      </c>
      <c r="B120" t="s">
        <v>8</v>
      </c>
      <c r="C120">
        <v>2061</v>
      </c>
      <c r="D120">
        <f>_xlfn.XLOOKUP($D$1,'age-specific-fertility-rates'!$A$1:$C$1,'age-specific-fertility-rates'!$A$107:$C$107)</f>
        <v>13.4</v>
      </c>
    </row>
    <row r="121" spans="1:4" x14ac:dyDescent="0.2">
      <c r="A121">
        <v>2018</v>
      </c>
      <c r="B121" t="s">
        <v>9</v>
      </c>
      <c r="C121">
        <v>8688</v>
      </c>
      <c r="D121">
        <f>_xlfn.XLOOKUP($D$1,'age-specific-fertility-rates'!$A$1:$C$1,'age-specific-fertility-rates'!$A$108:$C$108)</f>
        <v>53.2</v>
      </c>
    </row>
    <row r="122" spans="1:4" x14ac:dyDescent="0.2">
      <c r="A122">
        <v>2018</v>
      </c>
      <c r="B122" t="s">
        <v>10</v>
      </c>
      <c r="C122">
        <v>16227</v>
      </c>
      <c r="D122">
        <f>_xlfn.XLOOKUP($D$1,'age-specific-fertility-rates'!$A$1:$C$1,'age-specific-fertility-rates'!$A$109:$C$109)</f>
        <v>89.1</v>
      </c>
    </row>
    <row r="123" spans="1:4" x14ac:dyDescent="0.2">
      <c r="A123">
        <v>2018</v>
      </c>
      <c r="B123" t="s">
        <v>11</v>
      </c>
      <c r="C123">
        <v>18708</v>
      </c>
      <c r="D123">
        <f>_xlfn.XLOOKUP($D$1,'age-specific-fertility-rates'!$A$1:$C$1,'age-specific-fertility-rates'!$A$110:$C$110)</f>
        <v>109.3</v>
      </c>
    </row>
    <row r="124" spans="1:4" x14ac:dyDescent="0.2">
      <c r="A124">
        <v>2018</v>
      </c>
      <c r="B124" t="s">
        <v>12</v>
      </c>
      <c r="C124">
        <v>10023</v>
      </c>
      <c r="D124">
        <f>_xlfn.XLOOKUP($D$1,'age-specific-fertility-rates'!$A$1:$C$1,'age-specific-fertility-rates'!$A$111:$C$111)</f>
        <v>63.7</v>
      </c>
    </row>
    <row r="125" spans="1:4" x14ac:dyDescent="0.2">
      <c r="A125">
        <v>2018</v>
      </c>
      <c r="B125" t="s">
        <v>13</v>
      </c>
      <c r="C125">
        <v>2145</v>
      </c>
      <c r="D125">
        <f>_xlfn.XLOOKUP($D$1,'age-specific-fertility-rates'!$A$1:$C$1,'age-specific-fertility-rates'!$A$112:$C$112)</f>
        <v>13.9</v>
      </c>
    </row>
    <row r="126" spans="1:4" x14ac:dyDescent="0.2">
      <c r="A126">
        <v>2018</v>
      </c>
      <c r="B126" t="s">
        <v>14</v>
      </c>
      <c r="C126">
        <v>153</v>
      </c>
      <c r="D126">
        <f>_xlfn.XLOOKUP($D$1,'age-specific-fertility-rates'!$A$1:$C$1,'age-specific-fertility-rates'!$A$113:$C$113)</f>
        <v>0.9</v>
      </c>
    </row>
    <row r="127" spans="1:4" hidden="1" x14ac:dyDescent="0.2">
      <c r="A127">
        <v>2018</v>
      </c>
      <c r="B127" t="s">
        <v>15</v>
      </c>
      <c r="C127">
        <v>58020</v>
      </c>
    </row>
    <row r="128" spans="1:4" x14ac:dyDescent="0.2">
      <c r="A128">
        <v>2019</v>
      </c>
      <c r="B128" t="s">
        <v>7</v>
      </c>
      <c r="C128">
        <v>21</v>
      </c>
      <c r="D128">
        <f>_xlfn.XLOOKUP($D$1,'age-specific-fertility-rates'!$A$1:$C$1,'age-specific-fertility-rates'!$A$114:$C$114)</f>
        <v>0.1</v>
      </c>
    </row>
    <row r="129" spans="1:4" x14ac:dyDescent="0.2">
      <c r="A129">
        <v>2019</v>
      </c>
      <c r="B129" t="s">
        <v>8</v>
      </c>
      <c r="C129">
        <v>1974</v>
      </c>
      <c r="D129">
        <f>_xlfn.XLOOKUP($D$1,'age-specific-fertility-rates'!$A$1:$C$1,'age-specific-fertility-rates'!$A$115:$C$115)</f>
        <v>12.8</v>
      </c>
    </row>
    <row r="130" spans="1:4" x14ac:dyDescent="0.2">
      <c r="A130">
        <v>2019</v>
      </c>
      <c r="B130" t="s">
        <v>9</v>
      </c>
      <c r="C130">
        <v>8511</v>
      </c>
      <c r="D130">
        <f>_xlfn.XLOOKUP($D$1,'age-specific-fertility-rates'!$A$1:$C$1,'age-specific-fertility-rates'!$A$116:$C$116)</f>
        <v>52.4</v>
      </c>
    </row>
    <row r="131" spans="1:4" x14ac:dyDescent="0.2">
      <c r="A131">
        <v>2019</v>
      </c>
      <c r="B131" t="s">
        <v>10</v>
      </c>
      <c r="C131">
        <v>16428</v>
      </c>
      <c r="D131">
        <f>_xlfn.XLOOKUP($D$1,'age-specific-fertility-rates'!$A$1:$C$1,'age-specific-fertility-rates'!$A$117:$C$117)</f>
        <v>89</v>
      </c>
    </row>
    <row r="132" spans="1:4" x14ac:dyDescent="0.2">
      <c r="A132">
        <v>2019</v>
      </c>
      <c r="B132" t="s">
        <v>11</v>
      </c>
      <c r="C132">
        <v>19740</v>
      </c>
      <c r="D132">
        <f>_xlfn.XLOOKUP($D$1,'age-specific-fertility-rates'!$A$1:$C$1,'age-specific-fertility-rates'!$A$118:$C$118)</f>
        <v>110.6</v>
      </c>
    </row>
    <row r="133" spans="1:4" x14ac:dyDescent="0.2">
      <c r="A133">
        <v>2019</v>
      </c>
      <c r="B133" t="s">
        <v>12</v>
      </c>
      <c r="C133">
        <v>10548</v>
      </c>
      <c r="D133">
        <f>_xlfn.XLOOKUP($D$1,'age-specific-fertility-rates'!$A$1:$C$1,'age-specific-fertility-rates'!$A$119:$C$119)</f>
        <v>64.8</v>
      </c>
    </row>
    <row r="134" spans="1:4" x14ac:dyDescent="0.2">
      <c r="A134">
        <v>2019</v>
      </c>
      <c r="B134" t="s">
        <v>13</v>
      </c>
      <c r="C134">
        <v>2268</v>
      </c>
      <c r="D134">
        <f>_xlfn.XLOOKUP($D$1,'age-specific-fertility-rates'!$A$1:$C$1,'age-specific-fertility-rates'!$A$120:$C$120)</f>
        <v>14.7</v>
      </c>
    </row>
    <row r="135" spans="1:4" x14ac:dyDescent="0.2">
      <c r="A135">
        <v>2019</v>
      </c>
      <c r="B135" t="s">
        <v>14</v>
      </c>
      <c r="C135">
        <v>153</v>
      </c>
      <c r="D135">
        <f>_xlfn.XLOOKUP($D$1,'age-specific-fertility-rates'!$A$1:$C$1,'age-specific-fertility-rates'!$A$121:$C$121)</f>
        <v>0.9</v>
      </c>
    </row>
    <row r="136" spans="1:4" hidden="1" x14ac:dyDescent="0.2">
      <c r="A136">
        <v>2019</v>
      </c>
      <c r="B136" t="s">
        <v>15</v>
      </c>
      <c r="C136">
        <v>59637</v>
      </c>
    </row>
    <row r="137" spans="1:4" x14ac:dyDescent="0.2">
      <c r="A137">
        <v>2020</v>
      </c>
      <c r="B137" t="s">
        <v>7</v>
      </c>
      <c r="C137">
        <v>12</v>
      </c>
      <c r="D137">
        <f>_xlfn.XLOOKUP($D$1,'age-specific-fertility-rates'!$A$1:$C$1,'age-specific-fertility-rates'!$A$122:$C$122)</f>
        <v>0.1</v>
      </c>
    </row>
    <row r="138" spans="1:4" x14ac:dyDescent="0.2">
      <c r="A138">
        <v>2020</v>
      </c>
      <c r="B138" t="s">
        <v>8</v>
      </c>
      <c r="C138">
        <v>1881</v>
      </c>
      <c r="D138">
        <f>_xlfn.XLOOKUP($D$1,'age-specific-fertility-rates'!$A$1:$C$1,'age-specific-fertility-rates'!$A$123:$C$123)</f>
        <v>12.2</v>
      </c>
    </row>
    <row r="139" spans="1:4" x14ac:dyDescent="0.2">
      <c r="A139">
        <v>2020</v>
      </c>
      <c r="B139" t="s">
        <v>9</v>
      </c>
      <c r="C139">
        <v>7977</v>
      </c>
      <c r="D139">
        <f>_xlfn.XLOOKUP($D$1,'age-specific-fertility-rates'!$A$1:$C$1,'age-specific-fertility-rates'!$A$124:$C$124)</f>
        <v>48.8</v>
      </c>
    </row>
    <row r="140" spans="1:4" x14ac:dyDescent="0.2">
      <c r="A140">
        <v>2020</v>
      </c>
      <c r="B140" t="s">
        <v>10</v>
      </c>
      <c r="C140">
        <v>15705</v>
      </c>
      <c r="D140">
        <f>_xlfn.XLOOKUP($D$1,'age-specific-fertility-rates'!$A$1:$C$1,'age-specific-fertility-rates'!$A$125:$C$125)</f>
        <v>84</v>
      </c>
    </row>
    <row r="141" spans="1:4" x14ac:dyDescent="0.2">
      <c r="A141">
        <v>2020</v>
      </c>
      <c r="B141" t="s">
        <v>11</v>
      </c>
      <c r="C141">
        <v>19515</v>
      </c>
      <c r="D141">
        <f>_xlfn.XLOOKUP($D$1,'age-specific-fertility-rates'!$A$1:$C$1,'age-specific-fertility-rates'!$A$126:$C$126)</f>
        <v>104.2</v>
      </c>
    </row>
    <row r="142" spans="1:4" x14ac:dyDescent="0.2">
      <c r="A142">
        <v>2020</v>
      </c>
      <c r="B142" t="s">
        <v>12</v>
      </c>
      <c r="C142">
        <v>10233</v>
      </c>
      <c r="D142">
        <f>_xlfn.XLOOKUP($D$1,'age-specific-fertility-rates'!$A$1:$C$1,'age-specific-fertility-rates'!$A$127:$C$127)</f>
        <v>60.7</v>
      </c>
    </row>
    <row r="143" spans="1:4" x14ac:dyDescent="0.2">
      <c r="A143">
        <v>2020</v>
      </c>
      <c r="B143" t="s">
        <v>13</v>
      </c>
      <c r="C143">
        <v>2091</v>
      </c>
      <c r="D143">
        <f>_xlfn.XLOOKUP($D$1,'age-specific-fertility-rates'!$A$1:$C$1,'age-specific-fertility-rates'!$A$128:$C$128)</f>
        <v>13.4</v>
      </c>
    </row>
    <row r="144" spans="1:4" x14ac:dyDescent="0.2">
      <c r="A144">
        <v>2020</v>
      </c>
      <c r="B144" t="s">
        <v>14</v>
      </c>
      <c r="C144">
        <v>159</v>
      </c>
      <c r="D144">
        <f>_xlfn.XLOOKUP($D$1,'age-specific-fertility-rates'!$A$1:$C$1,'age-specific-fertility-rates'!$A$129:$C$129)</f>
        <v>0.9</v>
      </c>
    </row>
    <row r="145" spans="1:4" hidden="1" x14ac:dyDescent="0.2">
      <c r="A145">
        <v>2020</v>
      </c>
      <c r="B145" t="s">
        <v>15</v>
      </c>
      <c r="C145">
        <v>57576</v>
      </c>
    </row>
    <row r="146" spans="1:4" x14ac:dyDescent="0.2">
      <c r="A146">
        <v>2021</v>
      </c>
      <c r="B146" t="s">
        <v>7</v>
      </c>
      <c r="C146">
        <v>15</v>
      </c>
      <c r="D146">
        <f>_xlfn.XLOOKUP($D$1,'age-specific-fertility-rates'!$A$1:$C$1,'age-specific-fertility-rates'!$A$130:$C$130)</f>
        <v>0.1</v>
      </c>
    </row>
    <row r="147" spans="1:4" x14ac:dyDescent="0.2">
      <c r="A147">
        <v>2021</v>
      </c>
      <c r="B147" t="s">
        <v>8</v>
      </c>
      <c r="C147">
        <v>1581</v>
      </c>
      <c r="D147">
        <f>_xlfn.XLOOKUP($D$1,'age-specific-fertility-rates'!$A$1:$C$1,'age-specific-fertility-rates'!$A$131:$C$131)</f>
        <v>10.3</v>
      </c>
    </row>
    <row r="148" spans="1:4" x14ac:dyDescent="0.2">
      <c r="A148">
        <v>2021</v>
      </c>
      <c r="B148" t="s">
        <v>9</v>
      </c>
      <c r="C148">
        <v>7548</v>
      </c>
      <c r="D148">
        <f>_xlfn.XLOOKUP($D$1,'age-specific-fertility-rates'!$A$1:$C$1,'age-specific-fertility-rates'!$A$132:$C$132)</f>
        <v>47.1</v>
      </c>
    </row>
    <row r="149" spans="1:4" x14ac:dyDescent="0.2">
      <c r="A149">
        <v>2021</v>
      </c>
      <c r="B149" t="s">
        <v>10</v>
      </c>
      <c r="C149">
        <v>15687</v>
      </c>
      <c r="D149">
        <f>_xlfn.XLOOKUP($D$1,'age-specific-fertility-rates'!$A$1:$C$1,'age-specific-fertility-rates'!$A$133:$C$133)</f>
        <v>87</v>
      </c>
    </row>
    <row r="150" spans="1:4" x14ac:dyDescent="0.2">
      <c r="A150">
        <v>2021</v>
      </c>
      <c r="B150" t="s">
        <v>11</v>
      </c>
      <c r="C150">
        <v>20829</v>
      </c>
      <c r="D150">
        <f>_xlfn.XLOOKUP($D$1,'age-specific-fertility-rates'!$A$1:$C$1,'age-specific-fertility-rates'!$A$134:$C$134)</f>
        <v>108.4</v>
      </c>
    </row>
    <row r="151" spans="1:4" x14ac:dyDescent="0.2">
      <c r="A151">
        <v>2021</v>
      </c>
      <c r="B151" t="s">
        <v>12</v>
      </c>
      <c r="C151">
        <v>10773</v>
      </c>
      <c r="D151">
        <f>_xlfn.XLOOKUP($D$1,'age-specific-fertility-rates'!$A$1:$C$1,'age-specific-fertility-rates'!$A$135:$C$135)</f>
        <v>62.6</v>
      </c>
    </row>
    <row r="152" spans="1:4" x14ac:dyDescent="0.2">
      <c r="A152">
        <v>2021</v>
      </c>
      <c r="B152" t="s">
        <v>13</v>
      </c>
      <c r="C152">
        <v>2133</v>
      </c>
      <c r="D152">
        <f>_xlfn.XLOOKUP($D$1,'age-specific-fertility-rates'!$A$1:$C$1,'age-specific-fertility-rates'!$A$136:$C$136)</f>
        <v>13.5</v>
      </c>
    </row>
    <row r="153" spans="1:4" x14ac:dyDescent="0.2">
      <c r="A153">
        <v>2021</v>
      </c>
      <c r="B153" t="s">
        <v>14</v>
      </c>
      <c r="C153">
        <v>102</v>
      </c>
      <c r="D153">
        <f>_xlfn.XLOOKUP($D$1,'age-specific-fertility-rates'!$A$1:$C$1,'age-specific-fertility-rates'!$A$137:$C$137)</f>
        <v>0.6</v>
      </c>
    </row>
    <row r="154" spans="1:4" hidden="1" x14ac:dyDescent="0.2">
      <c r="A154">
        <v>2021</v>
      </c>
      <c r="B154" t="s">
        <v>15</v>
      </c>
      <c r="C154">
        <v>58659</v>
      </c>
    </row>
    <row r="155" spans="1:4" x14ac:dyDescent="0.2">
      <c r="A155">
        <v>2022</v>
      </c>
      <c r="B155" t="s">
        <v>7</v>
      </c>
      <c r="C155">
        <v>12</v>
      </c>
      <c r="D155">
        <f>_xlfn.XLOOKUP($D$1,'age-specific-fertility-rates'!$A$1:$C$1,'age-specific-fertility-rates'!$A$138:$C$138)</f>
        <v>0.1</v>
      </c>
    </row>
    <row r="156" spans="1:4" x14ac:dyDescent="0.2">
      <c r="A156">
        <v>2022</v>
      </c>
      <c r="B156" t="s">
        <v>8</v>
      </c>
      <c r="C156">
        <v>1707</v>
      </c>
      <c r="D156">
        <f>_xlfn.XLOOKUP($D$1,'age-specific-fertility-rates'!$A$1:$C$1,'age-specific-fertility-rates'!$A$139:$C$139)</f>
        <v>11.1</v>
      </c>
    </row>
    <row r="157" spans="1:4" x14ac:dyDescent="0.2">
      <c r="A157">
        <v>2022</v>
      </c>
      <c r="B157" t="s">
        <v>9</v>
      </c>
      <c r="C157">
        <v>7653</v>
      </c>
      <c r="D157">
        <f>_xlfn.XLOOKUP($D$1,'age-specific-fertility-rates'!$A$1:$C$1,'age-specific-fertility-rates'!$A$140:$C$140)</f>
        <v>48.8</v>
      </c>
    </row>
    <row r="158" spans="1:4" x14ac:dyDescent="0.2">
      <c r="A158">
        <v>2022</v>
      </c>
      <c r="B158" t="s">
        <v>10</v>
      </c>
      <c r="C158">
        <v>15180</v>
      </c>
      <c r="D158">
        <f>_xlfn.XLOOKUP($D$1,'age-specific-fertility-rates'!$A$1:$C$1,'age-specific-fertility-rates'!$A$141:$C$141)</f>
        <v>87.8</v>
      </c>
    </row>
    <row r="159" spans="1:4" x14ac:dyDescent="0.2">
      <c r="A159">
        <v>2022</v>
      </c>
      <c r="B159" t="s">
        <v>11</v>
      </c>
      <c r="C159">
        <v>20859</v>
      </c>
      <c r="D159">
        <f>_xlfn.XLOOKUP($D$1,'age-specific-fertility-rates'!$A$1:$C$1,'age-specific-fertility-rates'!$A$142:$C$142)</f>
        <v>107.3</v>
      </c>
    </row>
    <row r="160" spans="1:4" x14ac:dyDescent="0.2">
      <c r="A160">
        <v>2022</v>
      </c>
      <c r="B160" t="s">
        <v>12</v>
      </c>
      <c r="C160">
        <v>11097</v>
      </c>
      <c r="D160">
        <f>_xlfn.XLOOKUP($D$1,'age-specific-fertility-rates'!$A$1:$C$1,'age-specific-fertility-rates'!$A$143:$C$143)</f>
        <v>63.4</v>
      </c>
    </row>
    <row r="161" spans="1:4" x14ac:dyDescent="0.2">
      <c r="A161">
        <v>2022</v>
      </c>
      <c r="B161" t="s">
        <v>13</v>
      </c>
      <c r="C161">
        <v>2259</v>
      </c>
      <c r="D161">
        <f>_xlfn.XLOOKUP($D$1,'age-specific-fertility-rates'!$A$1:$C$1,'age-specific-fertility-rates'!$A$144:$C$144)</f>
        <v>14.1</v>
      </c>
    </row>
    <row r="162" spans="1:4" x14ac:dyDescent="0.2">
      <c r="A162">
        <v>2022</v>
      </c>
      <c r="B162" t="s">
        <v>14</v>
      </c>
      <c r="C162">
        <v>120</v>
      </c>
      <c r="D162">
        <f>_xlfn.XLOOKUP($D$1,'age-specific-fertility-rates'!$A$1:$C$1,'age-specific-fertility-rates'!$A$145:$C$145)</f>
        <v>0.8</v>
      </c>
    </row>
    <row r="163" spans="1:4" hidden="1" x14ac:dyDescent="0.2">
      <c r="A163">
        <v>2022</v>
      </c>
      <c r="B163" t="s">
        <v>15</v>
      </c>
      <c r="C163">
        <v>58887</v>
      </c>
    </row>
  </sheetData>
  <autoFilter ref="B1:B163" xr:uid="{00000000-0009-0000-0000-000002000000}">
    <filterColumn colId="0">
      <filters>
        <filter val="15–19"/>
        <filter val="20–24"/>
        <filter val="25–29"/>
        <filter val="30–34"/>
        <filter val="35–39"/>
        <filter val="40–44"/>
        <filter val="45 and over"/>
        <filter val="Under 15"/>
      </filters>
    </filterColumn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5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"/>
  <cols>
    <col min="1" max="1" width="19.50390625" customWidth="1"/>
    <col min="2" max="2" width="18.83203125" customWidth="1"/>
    <col min="3" max="3" width="17.75390625" customWidth="1"/>
  </cols>
  <sheetData>
    <row r="1" spans="1:3" x14ac:dyDescent="0.2">
      <c r="A1" t="s">
        <v>0</v>
      </c>
      <c r="B1" t="s">
        <v>6</v>
      </c>
      <c r="C1" t="s">
        <v>16</v>
      </c>
    </row>
    <row r="2" spans="1:3" x14ac:dyDescent="0.2">
      <c r="A2">
        <v>2005</v>
      </c>
      <c r="B2" t="s">
        <v>7</v>
      </c>
      <c r="C2">
        <v>0.2</v>
      </c>
    </row>
    <row r="3" spans="1:3" x14ac:dyDescent="0.2">
      <c r="A3">
        <v>2005</v>
      </c>
      <c r="B3" t="s">
        <v>8</v>
      </c>
      <c r="C3">
        <v>27.2</v>
      </c>
    </row>
    <row r="4" spans="1:3" x14ac:dyDescent="0.2">
      <c r="A4">
        <v>2005</v>
      </c>
      <c r="B4" t="s">
        <v>9</v>
      </c>
      <c r="C4">
        <v>67.599999999999994</v>
      </c>
    </row>
    <row r="5" spans="1:3" x14ac:dyDescent="0.2">
      <c r="A5">
        <v>2005</v>
      </c>
      <c r="B5" t="s">
        <v>10</v>
      </c>
      <c r="C5">
        <v>104.9</v>
      </c>
    </row>
    <row r="6" spans="1:3" x14ac:dyDescent="0.2">
      <c r="A6">
        <v>2005</v>
      </c>
      <c r="B6" t="s">
        <v>11</v>
      </c>
      <c r="C6">
        <v>117.1</v>
      </c>
    </row>
    <row r="7" spans="1:3" x14ac:dyDescent="0.2">
      <c r="A7">
        <v>2005</v>
      </c>
      <c r="B7" t="s">
        <v>12</v>
      </c>
      <c r="C7">
        <v>62.3</v>
      </c>
    </row>
    <row r="8" spans="1:3" x14ac:dyDescent="0.2">
      <c r="A8">
        <v>2005</v>
      </c>
      <c r="B8" t="s">
        <v>13</v>
      </c>
      <c r="C8">
        <v>12</v>
      </c>
    </row>
    <row r="9" spans="1:3" x14ac:dyDescent="0.2">
      <c r="A9">
        <v>2005</v>
      </c>
      <c r="B9" t="s">
        <v>14</v>
      </c>
      <c r="C9">
        <v>0.6</v>
      </c>
    </row>
    <row r="10" spans="1:3" x14ac:dyDescent="0.2">
      <c r="A10">
        <v>2006</v>
      </c>
      <c r="B10" t="s">
        <v>7</v>
      </c>
      <c r="C10">
        <v>0.2</v>
      </c>
    </row>
    <row r="11" spans="1:3" x14ac:dyDescent="0.2">
      <c r="A11">
        <v>2006</v>
      </c>
      <c r="B11" t="s">
        <v>8</v>
      </c>
      <c r="C11">
        <v>28.1</v>
      </c>
    </row>
    <row r="12" spans="1:3" x14ac:dyDescent="0.2">
      <c r="A12">
        <v>2006</v>
      </c>
      <c r="B12" t="s">
        <v>9</v>
      </c>
      <c r="C12">
        <v>70.900000000000006</v>
      </c>
    </row>
    <row r="13" spans="1:3" x14ac:dyDescent="0.2">
      <c r="A13">
        <v>2006</v>
      </c>
      <c r="B13" t="s">
        <v>10</v>
      </c>
      <c r="C13">
        <v>105.2</v>
      </c>
    </row>
    <row r="14" spans="1:3" x14ac:dyDescent="0.2">
      <c r="A14">
        <v>2006</v>
      </c>
      <c r="B14" t="s">
        <v>11</v>
      </c>
      <c r="C14">
        <v>119.3</v>
      </c>
    </row>
    <row r="15" spans="1:3" x14ac:dyDescent="0.2">
      <c r="A15">
        <v>2006</v>
      </c>
      <c r="B15" t="s">
        <v>12</v>
      </c>
      <c r="C15">
        <v>63.7</v>
      </c>
    </row>
    <row r="16" spans="1:3" x14ac:dyDescent="0.2">
      <c r="A16">
        <v>2006</v>
      </c>
      <c r="B16" t="s">
        <v>13</v>
      </c>
      <c r="C16">
        <v>12.3</v>
      </c>
    </row>
    <row r="17" spans="1:3" x14ac:dyDescent="0.2">
      <c r="A17">
        <v>2006</v>
      </c>
      <c r="B17" t="s">
        <v>14</v>
      </c>
      <c r="C17">
        <v>0.7</v>
      </c>
    </row>
    <row r="18" spans="1:3" x14ac:dyDescent="0.2">
      <c r="A18">
        <v>2007</v>
      </c>
      <c r="B18" t="s">
        <v>7</v>
      </c>
      <c r="C18">
        <v>0.3</v>
      </c>
    </row>
    <row r="19" spans="1:3" x14ac:dyDescent="0.2">
      <c r="A19">
        <v>2007</v>
      </c>
      <c r="B19" t="s">
        <v>8</v>
      </c>
      <c r="C19">
        <v>31.4</v>
      </c>
    </row>
    <row r="20" spans="1:3" x14ac:dyDescent="0.2">
      <c r="A20">
        <v>2007</v>
      </c>
      <c r="B20" t="s">
        <v>9</v>
      </c>
      <c r="C20">
        <v>76.5</v>
      </c>
    </row>
    <row r="21" spans="1:3" x14ac:dyDescent="0.2">
      <c r="A21">
        <v>2007</v>
      </c>
      <c r="B21" t="s">
        <v>10</v>
      </c>
      <c r="C21">
        <v>114.2</v>
      </c>
    </row>
    <row r="22" spans="1:3" x14ac:dyDescent="0.2">
      <c r="A22">
        <v>2007</v>
      </c>
      <c r="B22" t="s">
        <v>11</v>
      </c>
      <c r="C22">
        <v>126.9</v>
      </c>
    </row>
    <row r="23" spans="1:3" x14ac:dyDescent="0.2">
      <c r="A23">
        <v>2007</v>
      </c>
      <c r="B23" t="s">
        <v>12</v>
      </c>
      <c r="C23">
        <v>70.3</v>
      </c>
    </row>
    <row r="24" spans="1:3" x14ac:dyDescent="0.2">
      <c r="A24">
        <v>2007</v>
      </c>
      <c r="B24" t="s">
        <v>13</v>
      </c>
      <c r="C24">
        <v>13.7</v>
      </c>
    </row>
    <row r="25" spans="1:3" x14ac:dyDescent="0.2">
      <c r="A25">
        <v>2007</v>
      </c>
      <c r="B25" t="s">
        <v>14</v>
      </c>
      <c r="C25">
        <v>0.7</v>
      </c>
    </row>
    <row r="26" spans="1:3" x14ac:dyDescent="0.2">
      <c r="A26">
        <v>2008</v>
      </c>
      <c r="B26" t="s">
        <v>7</v>
      </c>
      <c r="C26">
        <v>0.3</v>
      </c>
    </row>
    <row r="27" spans="1:3" x14ac:dyDescent="0.2">
      <c r="A27">
        <v>2008</v>
      </c>
      <c r="B27" t="s">
        <v>8</v>
      </c>
      <c r="C27">
        <v>33.1</v>
      </c>
    </row>
    <row r="28" spans="1:3" x14ac:dyDescent="0.2">
      <c r="A28">
        <v>2008</v>
      </c>
      <c r="B28" t="s">
        <v>9</v>
      </c>
      <c r="C28">
        <v>79.5</v>
      </c>
    </row>
    <row r="29" spans="1:3" x14ac:dyDescent="0.2">
      <c r="A29">
        <v>2008</v>
      </c>
      <c r="B29" t="s">
        <v>10</v>
      </c>
      <c r="C29">
        <v>113.4</v>
      </c>
    </row>
    <row r="30" spans="1:3" x14ac:dyDescent="0.2">
      <c r="A30">
        <v>2008</v>
      </c>
      <c r="B30" t="s">
        <v>11</v>
      </c>
      <c r="C30">
        <v>125.3</v>
      </c>
    </row>
    <row r="31" spans="1:3" x14ac:dyDescent="0.2">
      <c r="A31">
        <v>2008</v>
      </c>
      <c r="B31" t="s">
        <v>12</v>
      </c>
      <c r="C31">
        <v>71.599999999999994</v>
      </c>
    </row>
    <row r="32" spans="1:3" x14ac:dyDescent="0.2">
      <c r="A32">
        <v>2008</v>
      </c>
      <c r="B32" t="s">
        <v>13</v>
      </c>
      <c r="C32">
        <v>13.9</v>
      </c>
    </row>
    <row r="33" spans="1:3" x14ac:dyDescent="0.2">
      <c r="A33">
        <v>2008</v>
      </c>
      <c r="B33" t="s">
        <v>14</v>
      </c>
      <c r="C33">
        <v>0.7</v>
      </c>
    </row>
    <row r="34" spans="1:3" x14ac:dyDescent="0.2">
      <c r="A34">
        <v>2009</v>
      </c>
      <c r="B34" t="s">
        <v>7</v>
      </c>
      <c r="C34">
        <v>0.2</v>
      </c>
    </row>
    <row r="35" spans="1:3" x14ac:dyDescent="0.2">
      <c r="A35">
        <v>2009</v>
      </c>
      <c r="B35" t="s">
        <v>8</v>
      </c>
      <c r="C35">
        <v>29.6</v>
      </c>
    </row>
    <row r="36" spans="1:3" x14ac:dyDescent="0.2">
      <c r="A36">
        <v>2009</v>
      </c>
      <c r="B36" t="s">
        <v>9</v>
      </c>
      <c r="C36">
        <v>78.7</v>
      </c>
    </row>
    <row r="37" spans="1:3" x14ac:dyDescent="0.2">
      <c r="A37">
        <v>2009</v>
      </c>
      <c r="B37" t="s">
        <v>10</v>
      </c>
      <c r="C37">
        <v>109.7</v>
      </c>
    </row>
    <row r="38" spans="1:3" x14ac:dyDescent="0.2">
      <c r="A38">
        <v>2009</v>
      </c>
      <c r="B38" t="s">
        <v>11</v>
      </c>
      <c r="C38">
        <v>123.1</v>
      </c>
    </row>
    <row r="39" spans="1:3" x14ac:dyDescent="0.2">
      <c r="A39">
        <v>2009</v>
      </c>
      <c r="B39" t="s">
        <v>12</v>
      </c>
      <c r="C39">
        <v>69.400000000000006</v>
      </c>
    </row>
    <row r="40" spans="1:3" x14ac:dyDescent="0.2">
      <c r="A40">
        <v>2009</v>
      </c>
      <c r="B40" t="s">
        <v>13</v>
      </c>
      <c r="C40">
        <v>14.4</v>
      </c>
    </row>
    <row r="41" spans="1:3" x14ac:dyDescent="0.2">
      <c r="A41">
        <v>2009</v>
      </c>
      <c r="B41" t="s">
        <v>14</v>
      </c>
      <c r="C41">
        <v>0.6</v>
      </c>
    </row>
    <row r="42" spans="1:3" x14ac:dyDescent="0.2">
      <c r="A42">
        <v>2010</v>
      </c>
      <c r="B42" t="s">
        <v>7</v>
      </c>
      <c r="C42">
        <v>0.2</v>
      </c>
    </row>
    <row r="43" spans="1:3" x14ac:dyDescent="0.2">
      <c r="A43">
        <v>2010</v>
      </c>
      <c r="B43" t="s">
        <v>8</v>
      </c>
      <c r="C43">
        <v>29</v>
      </c>
    </row>
    <row r="44" spans="1:3" x14ac:dyDescent="0.2">
      <c r="A44">
        <v>2010</v>
      </c>
      <c r="B44" t="s">
        <v>9</v>
      </c>
      <c r="C44">
        <v>78.900000000000006</v>
      </c>
    </row>
    <row r="45" spans="1:3" x14ac:dyDescent="0.2">
      <c r="A45">
        <v>2010</v>
      </c>
      <c r="B45" t="s">
        <v>10</v>
      </c>
      <c r="C45">
        <v>112.7</v>
      </c>
    </row>
    <row r="46" spans="1:3" x14ac:dyDescent="0.2">
      <c r="A46">
        <v>2010</v>
      </c>
      <c r="B46" t="s">
        <v>11</v>
      </c>
      <c r="C46">
        <v>126.5</v>
      </c>
    </row>
    <row r="47" spans="1:3" x14ac:dyDescent="0.2">
      <c r="A47">
        <v>2010</v>
      </c>
      <c r="B47" t="s">
        <v>12</v>
      </c>
      <c r="C47">
        <v>70.7</v>
      </c>
    </row>
    <row r="48" spans="1:3" x14ac:dyDescent="0.2">
      <c r="A48">
        <v>2010</v>
      </c>
      <c r="B48" t="s">
        <v>13</v>
      </c>
      <c r="C48">
        <v>15.2</v>
      </c>
    </row>
    <row r="49" spans="1:3" x14ac:dyDescent="0.2">
      <c r="A49">
        <v>2010</v>
      </c>
      <c r="B49" t="s">
        <v>14</v>
      </c>
      <c r="C49">
        <v>0.8</v>
      </c>
    </row>
    <row r="50" spans="1:3" x14ac:dyDescent="0.2">
      <c r="A50">
        <v>2011</v>
      </c>
      <c r="B50" t="s">
        <v>7</v>
      </c>
      <c r="C50">
        <v>0.2</v>
      </c>
    </row>
    <row r="51" spans="1:3" x14ac:dyDescent="0.2">
      <c r="A51">
        <v>2011</v>
      </c>
      <c r="B51" t="s">
        <v>8</v>
      </c>
      <c r="C51">
        <v>25.8</v>
      </c>
    </row>
    <row r="52" spans="1:3" x14ac:dyDescent="0.2">
      <c r="A52">
        <v>2011</v>
      </c>
      <c r="B52" t="s">
        <v>9</v>
      </c>
      <c r="C52">
        <v>74.400000000000006</v>
      </c>
    </row>
    <row r="53" spans="1:3" x14ac:dyDescent="0.2">
      <c r="A53">
        <v>2011</v>
      </c>
      <c r="B53" t="s">
        <v>10</v>
      </c>
      <c r="C53">
        <v>109.1</v>
      </c>
    </row>
    <row r="54" spans="1:3" x14ac:dyDescent="0.2">
      <c r="A54">
        <v>2011</v>
      </c>
      <c r="B54" t="s">
        <v>11</v>
      </c>
      <c r="C54">
        <v>122.7</v>
      </c>
    </row>
    <row r="55" spans="1:3" x14ac:dyDescent="0.2">
      <c r="A55">
        <v>2011</v>
      </c>
      <c r="B55" t="s">
        <v>12</v>
      </c>
      <c r="C55">
        <v>70.2</v>
      </c>
    </row>
    <row r="56" spans="1:3" x14ac:dyDescent="0.2">
      <c r="A56">
        <v>2011</v>
      </c>
      <c r="B56" t="s">
        <v>13</v>
      </c>
      <c r="C56">
        <v>14.6</v>
      </c>
    </row>
    <row r="57" spans="1:3" x14ac:dyDescent="0.2">
      <c r="A57">
        <v>2011</v>
      </c>
      <c r="B57" t="s">
        <v>14</v>
      </c>
      <c r="C57">
        <v>0.8</v>
      </c>
    </row>
    <row r="58" spans="1:3" x14ac:dyDescent="0.2">
      <c r="A58">
        <v>2012</v>
      </c>
      <c r="B58" t="s">
        <v>7</v>
      </c>
      <c r="C58">
        <v>0.1</v>
      </c>
    </row>
    <row r="59" spans="1:3" x14ac:dyDescent="0.2">
      <c r="A59">
        <v>2012</v>
      </c>
      <c r="B59" t="s">
        <v>8</v>
      </c>
      <c r="C59">
        <v>24.6</v>
      </c>
    </row>
    <row r="60" spans="1:3" x14ac:dyDescent="0.2">
      <c r="A60">
        <v>2012</v>
      </c>
      <c r="B60" t="s">
        <v>9</v>
      </c>
      <c r="C60">
        <v>73.099999999999994</v>
      </c>
    </row>
    <row r="61" spans="1:3" x14ac:dyDescent="0.2">
      <c r="A61">
        <v>2012</v>
      </c>
      <c r="B61" t="s">
        <v>10</v>
      </c>
      <c r="C61">
        <v>110.7</v>
      </c>
    </row>
    <row r="62" spans="1:3" x14ac:dyDescent="0.2">
      <c r="A62">
        <v>2012</v>
      </c>
      <c r="B62" t="s">
        <v>11</v>
      </c>
      <c r="C62">
        <v>124.4</v>
      </c>
    </row>
    <row r="63" spans="1:3" x14ac:dyDescent="0.2">
      <c r="A63">
        <v>2012</v>
      </c>
      <c r="B63" t="s">
        <v>12</v>
      </c>
      <c r="C63">
        <v>69.5</v>
      </c>
    </row>
    <row r="64" spans="1:3" x14ac:dyDescent="0.2">
      <c r="A64">
        <v>2012</v>
      </c>
      <c r="B64" t="s">
        <v>13</v>
      </c>
      <c r="C64">
        <v>15.1</v>
      </c>
    </row>
    <row r="65" spans="1:3" x14ac:dyDescent="0.2">
      <c r="A65">
        <v>2012</v>
      </c>
      <c r="B65" t="s">
        <v>14</v>
      </c>
      <c r="C65">
        <v>0.7</v>
      </c>
    </row>
    <row r="66" spans="1:3" x14ac:dyDescent="0.2">
      <c r="A66">
        <v>2013</v>
      </c>
      <c r="B66" t="s">
        <v>7</v>
      </c>
      <c r="C66">
        <v>0.1</v>
      </c>
    </row>
    <row r="67" spans="1:3" x14ac:dyDescent="0.2">
      <c r="A67">
        <v>2013</v>
      </c>
      <c r="B67" t="s">
        <v>8</v>
      </c>
      <c r="C67">
        <v>21.6</v>
      </c>
    </row>
    <row r="68" spans="1:3" x14ac:dyDescent="0.2">
      <c r="A68">
        <v>2013</v>
      </c>
      <c r="B68" t="s">
        <v>9</v>
      </c>
      <c r="C68">
        <v>68.5</v>
      </c>
    </row>
    <row r="69" spans="1:3" x14ac:dyDescent="0.2">
      <c r="A69">
        <v>2013</v>
      </c>
      <c r="B69" t="s">
        <v>10</v>
      </c>
      <c r="C69">
        <v>106.8</v>
      </c>
    </row>
    <row r="70" spans="1:3" x14ac:dyDescent="0.2">
      <c r="A70">
        <v>2013</v>
      </c>
      <c r="B70" t="s">
        <v>11</v>
      </c>
      <c r="C70">
        <v>118.1</v>
      </c>
    </row>
    <row r="71" spans="1:3" x14ac:dyDescent="0.2">
      <c r="A71">
        <v>2013</v>
      </c>
      <c r="B71" t="s">
        <v>12</v>
      </c>
      <c r="C71">
        <v>69.8</v>
      </c>
    </row>
    <row r="72" spans="1:3" x14ac:dyDescent="0.2">
      <c r="A72">
        <v>2013</v>
      </c>
      <c r="B72" t="s">
        <v>13</v>
      </c>
      <c r="C72">
        <v>14.6</v>
      </c>
    </row>
    <row r="73" spans="1:3" x14ac:dyDescent="0.2">
      <c r="A73">
        <v>2013</v>
      </c>
      <c r="B73" t="s">
        <v>14</v>
      </c>
      <c r="C73">
        <v>0.9</v>
      </c>
    </row>
    <row r="74" spans="1:3" x14ac:dyDescent="0.2">
      <c r="A74">
        <v>2014</v>
      </c>
      <c r="B74" t="s">
        <v>7</v>
      </c>
      <c r="C74">
        <v>0.2</v>
      </c>
    </row>
    <row r="75" spans="1:3" x14ac:dyDescent="0.2">
      <c r="A75">
        <v>2014</v>
      </c>
      <c r="B75" t="s">
        <v>8</v>
      </c>
      <c r="C75">
        <v>19</v>
      </c>
    </row>
    <row r="76" spans="1:3" x14ac:dyDescent="0.2">
      <c r="A76">
        <v>2014</v>
      </c>
      <c r="B76" t="s">
        <v>9</v>
      </c>
      <c r="C76">
        <v>62.4</v>
      </c>
    </row>
    <row r="77" spans="1:3" x14ac:dyDescent="0.2">
      <c r="A77">
        <v>2014</v>
      </c>
      <c r="B77" t="s">
        <v>10</v>
      </c>
      <c r="C77">
        <v>102.3</v>
      </c>
    </row>
    <row r="78" spans="1:3" x14ac:dyDescent="0.2">
      <c r="A78">
        <v>2014</v>
      </c>
      <c r="B78" t="s">
        <v>11</v>
      </c>
      <c r="C78">
        <v>118.6</v>
      </c>
    </row>
    <row r="79" spans="1:3" x14ac:dyDescent="0.2">
      <c r="A79">
        <v>2014</v>
      </c>
      <c r="B79" t="s">
        <v>12</v>
      </c>
      <c r="C79">
        <v>66.400000000000006</v>
      </c>
    </row>
    <row r="80" spans="1:3" x14ac:dyDescent="0.2">
      <c r="A80">
        <v>2014</v>
      </c>
      <c r="B80" t="s">
        <v>13</v>
      </c>
      <c r="C80">
        <v>14.2</v>
      </c>
    </row>
    <row r="81" spans="1:3" x14ac:dyDescent="0.2">
      <c r="A81">
        <v>2014</v>
      </c>
      <c r="B81" t="s">
        <v>14</v>
      </c>
      <c r="C81">
        <v>0.7</v>
      </c>
    </row>
    <row r="82" spans="1:3" x14ac:dyDescent="0.2">
      <c r="A82">
        <v>2015</v>
      </c>
      <c r="B82" t="s">
        <v>7</v>
      </c>
      <c r="C82">
        <v>0.2</v>
      </c>
    </row>
    <row r="83" spans="1:3" x14ac:dyDescent="0.2">
      <c r="A83">
        <v>2015</v>
      </c>
      <c r="B83" t="s">
        <v>8</v>
      </c>
      <c r="C83">
        <v>18.600000000000001</v>
      </c>
    </row>
    <row r="84" spans="1:3" x14ac:dyDescent="0.2">
      <c r="A84">
        <v>2015</v>
      </c>
      <c r="B84" t="s">
        <v>9</v>
      </c>
      <c r="C84">
        <v>64.7</v>
      </c>
    </row>
    <row r="85" spans="1:3" x14ac:dyDescent="0.2">
      <c r="A85">
        <v>2015</v>
      </c>
      <c r="B85" t="s">
        <v>10</v>
      </c>
      <c r="C85">
        <v>103.8</v>
      </c>
    </row>
    <row r="86" spans="1:3" x14ac:dyDescent="0.2">
      <c r="A86">
        <v>2015</v>
      </c>
      <c r="B86" t="s">
        <v>11</v>
      </c>
      <c r="C86">
        <v>124.1</v>
      </c>
    </row>
    <row r="87" spans="1:3" x14ac:dyDescent="0.2">
      <c r="A87">
        <v>2015</v>
      </c>
      <c r="B87" t="s">
        <v>12</v>
      </c>
      <c r="C87">
        <v>70.8</v>
      </c>
    </row>
    <row r="88" spans="1:3" x14ac:dyDescent="0.2">
      <c r="A88">
        <v>2015</v>
      </c>
      <c r="B88" t="s">
        <v>13</v>
      </c>
      <c r="C88">
        <v>14.6</v>
      </c>
    </row>
    <row r="89" spans="1:3" x14ac:dyDescent="0.2">
      <c r="A89">
        <v>2015</v>
      </c>
      <c r="B89" t="s">
        <v>14</v>
      </c>
      <c r="C89">
        <v>1</v>
      </c>
    </row>
    <row r="90" spans="1:3" x14ac:dyDescent="0.2">
      <c r="A90">
        <v>2016</v>
      </c>
      <c r="B90" t="s">
        <v>7</v>
      </c>
      <c r="C90">
        <v>0.1</v>
      </c>
    </row>
    <row r="91" spans="1:3" x14ac:dyDescent="0.2">
      <c r="A91">
        <v>2016</v>
      </c>
      <c r="B91" t="s">
        <v>8</v>
      </c>
      <c r="C91">
        <v>16</v>
      </c>
    </row>
    <row r="92" spans="1:3" x14ac:dyDescent="0.2">
      <c r="A92">
        <v>2016</v>
      </c>
      <c r="B92" t="s">
        <v>9</v>
      </c>
      <c r="C92">
        <v>58.9</v>
      </c>
    </row>
    <row r="93" spans="1:3" x14ac:dyDescent="0.2">
      <c r="A93">
        <v>2016</v>
      </c>
      <c r="B93" t="s">
        <v>10</v>
      </c>
      <c r="C93">
        <v>97.3</v>
      </c>
    </row>
    <row r="94" spans="1:3" x14ac:dyDescent="0.2">
      <c r="A94">
        <v>2016</v>
      </c>
      <c r="B94" t="s">
        <v>11</v>
      </c>
      <c r="C94">
        <v>118.6</v>
      </c>
    </row>
    <row r="95" spans="1:3" x14ac:dyDescent="0.2">
      <c r="A95">
        <v>2016</v>
      </c>
      <c r="B95" t="s">
        <v>12</v>
      </c>
      <c r="C95">
        <v>67.8</v>
      </c>
    </row>
    <row r="96" spans="1:3" x14ac:dyDescent="0.2">
      <c r="A96">
        <v>2016</v>
      </c>
      <c r="B96" t="s">
        <v>13</v>
      </c>
      <c r="C96">
        <v>14.3</v>
      </c>
    </row>
    <row r="97" spans="1:3" x14ac:dyDescent="0.2">
      <c r="A97">
        <v>2016</v>
      </c>
      <c r="B97" t="s">
        <v>14</v>
      </c>
      <c r="C97">
        <v>0.8</v>
      </c>
    </row>
    <row r="98" spans="1:3" x14ac:dyDescent="0.2">
      <c r="A98">
        <v>2017</v>
      </c>
      <c r="B98" t="s">
        <v>7</v>
      </c>
      <c r="C98">
        <v>0.1</v>
      </c>
    </row>
    <row r="99" spans="1:3" x14ac:dyDescent="0.2">
      <c r="A99">
        <v>2017</v>
      </c>
      <c r="B99" t="s">
        <v>8</v>
      </c>
      <c r="C99">
        <v>14.9</v>
      </c>
    </row>
    <row r="100" spans="1:3" x14ac:dyDescent="0.2">
      <c r="A100">
        <v>2017</v>
      </c>
      <c r="B100" t="s">
        <v>9</v>
      </c>
      <c r="C100">
        <v>57.3</v>
      </c>
    </row>
    <row r="101" spans="1:3" x14ac:dyDescent="0.2">
      <c r="A101">
        <v>2017</v>
      </c>
      <c r="B101" t="s">
        <v>10</v>
      </c>
      <c r="C101">
        <v>94.6</v>
      </c>
    </row>
    <row r="102" spans="1:3" x14ac:dyDescent="0.2">
      <c r="A102">
        <v>2017</v>
      </c>
      <c r="B102" t="s">
        <v>11</v>
      </c>
      <c r="C102">
        <v>115.1</v>
      </c>
    </row>
    <row r="103" spans="1:3" x14ac:dyDescent="0.2">
      <c r="A103">
        <v>2017</v>
      </c>
      <c r="B103" t="s">
        <v>12</v>
      </c>
      <c r="C103">
        <v>65.3</v>
      </c>
    </row>
    <row r="104" spans="1:3" x14ac:dyDescent="0.2">
      <c r="A104">
        <v>2017</v>
      </c>
      <c r="B104" t="s">
        <v>13</v>
      </c>
      <c r="C104">
        <v>14.7</v>
      </c>
    </row>
    <row r="105" spans="1:3" x14ac:dyDescent="0.2">
      <c r="A105">
        <v>2017</v>
      </c>
      <c r="B105" t="s">
        <v>14</v>
      </c>
      <c r="C105">
        <v>0.9</v>
      </c>
    </row>
    <row r="106" spans="1:3" x14ac:dyDescent="0.2">
      <c r="A106">
        <v>2018</v>
      </c>
      <c r="B106" t="s">
        <v>7</v>
      </c>
      <c r="C106">
        <v>0.1</v>
      </c>
    </row>
    <row r="107" spans="1:3" x14ac:dyDescent="0.2">
      <c r="A107">
        <v>2018</v>
      </c>
      <c r="B107" t="s">
        <v>8</v>
      </c>
      <c r="C107">
        <v>13.4</v>
      </c>
    </row>
    <row r="108" spans="1:3" x14ac:dyDescent="0.2">
      <c r="A108">
        <v>2018</v>
      </c>
      <c r="B108" t="s">
        <v>9</v>
      </c>
      <c r="C108">
        <v>53.2</v>
      </c>
    </row>
    <row r="109" spans="1:3" x14ac:dyDescent="0.2">
      <c r="A109">
        <v>2018</v>
      </c>
      <c r="B109" t="s">
        <v>10</v>
      </c>
      <c r="C109">
        <v>89.1</v>
      </c>
    </row>
    <row r="110" spans="1:3" x14ac:dyDescent="0.2">
      <c r="A110">
        <v>2018</v>
      </c>
      <c r="B110" t="s">
        <v>11</v>
      </c>
      <c r="C110">
        <v>109.3</v>
      </c>
    </row>
    <row r="111" spans="1:3" x14ac:dyDescent="0.2">
      <c r="A111">
        <v>2018</v>
      </c>
      <c r="B111" t="s">
        <v>12</v>
      </c>
      <c r="C111">
        <v>63.7</v>
      </c>
    </row>
    <row r="112" spans="1:3" x14ac:dyDescent="0.2">
      <c r="A112">
        <v>2018</v>
      </c>
      <c r="B112" t="s">
        <v>13</v>
      </c>
      <c r="C112">
        <v>13.9</v>
      </c>
    </row>
    <row r="113" spans="1:3" x14ac:dyDescent="0.2">
      <c r="A113">
        <v>2018</v>
      </c>
      <c r="B113" t="s">
        <v>14</v>
      </c>
      <c r="C113">
        <v>0.9</v>
      </c>
    </row>
    <row r="114" spans="1:3" x14ac:dyDescent="0.2">
      <c r="A114">
        <v>2019</v>
      </c>
      <c r="B114" t="s">
        <v>7</v>
      </c>
      <c r="C114">
        <v>0.1</v>
      </c>
    </row>
    <row r="115" spans="1:3" x14ac:dyDescent="0.2">
      <c r="A115">
        <v>2019</v>
      </c>
      <c r="B115" t="s">
        <v>8</v>
      </c>
      <c r="C115">
        <v>12.8</v>
      </c>
    </row>
    <row r="116" spans="1:3" x14ac:dyDescent="0.2">
      <c r="A116">
        <v>2019</v>
      </c>
      <c r="B116" t="s">
        <v>9</v>
      </c>
      <c r="C116">
        <v>52.4</v>
      </c>
    </row>
    <row r="117" spans="1:3" x14ac:dyDescent="0.2">
      <c r="A117">
        <v>2019</v>
      </c>
      <c r="B117" t="s">
        <v>10</v>
      </c>
      <c r="C117">
        <v>89</v>
      </c>
    </row>
    <row r="118" spans="1:3" x14ac:dyDescent="0.2">
      <c r="A118">
        <v>2019</v>
      </c>
      <c r="B118" t="s">
        <v>11</v>
      </c>
      <c r="C118">
        <v>110.6</v>
      </c>
    </row>
    <row r="119" spans="1:3" x14ac:dyDescent="0.2">
      <c r="A119">
        <v>2019</v>
      </c>
      <c r="B119" t="s">
        <v>12</v>
      </c>
      <c r="C119">
        <v>64.8</v>
      </c>
    </row>
    <row r="120" spans="1:3" x14ac:dyDescent="0.2">
      <c r="A120">
        <v>2019</v>
      </c>
      <c r="B120" t="s">
        <v>13</v>
      </c>
      <c r="C120">
        <v>14.7</v>
      </c>
    </row>
    <row r="121" spans="1:3" x14ac:dyDescent="0.2">
      <c r="A121">
        <v>2019</v>
      </c>
      <c r="B121" t="s">
        <v>14</v>
      </c>
      <c r="C121">
        <v>0.9</v>
      </c>
    </row>
    <row r="122" spans="1:3" x14ac:dyDescent="0.2">
      <c r="A122">
        <v>2020</v>
      </c>
      <c r="B122" t="s">
        <v>7</v>
      </c>
      <c r="C122">
        <v>0.1</v>
      </c>
    </row>
    <row r="123" spans="1:3" x14ac:dyDescent="0.2">
      <c r="A123">
        <v>2020</v>
      </c>
      <c r="B123" t="s">
        <v>8</v>
      </c>
      <c r="C123">
        <v>12.2</v>
      </c>
    </row>
    <row r="124" spans="1:3" x14ac:dyDescent="0.2">
      <c r="A124">
        <v>2020</v>
      </c>
      <c r="B124" t="s">
        <v>9</v>
      </c>
      <c r="C124">
        <v>48.8</v>
      </c>
    </row>
    <row r="125" spans="1:3" x14ac:dyDescent="0.2">
      <c r="A125">
        <v>2020</v>
      </c>
      <c r="B125" t="s">
        <v>10</v>
      </c>
      <c r="C125">
        <v>84</v>
      </c>
    </row>
    <row r="126" spans="1:3" x14ac:dyDescent="0.2">
      <c r="A126">
        <v>2020</v>
      </c>
      <c r="B126" t="s">
        <v>11</v>
      </c>
      <c r="C126">
        <v>104.2</v>
      </c>
    </row>
    <row r="127" spans="1:3" x14ac:dyDescent="0.2">
      <c r="A127">
        <v>2020</v>
      </c>
      <c r="B127" t="s">
        <v>12</v>
      </c>
      <c r="C127">
        <v>60.7</v>
      </c>
    </row>
    <row r="128" spans="1:3" x14ac:dyDescent="0.2">
      <c r="A128">
        <v>2020</v>
      </c>
      <c r="B128" t="s">
        <v>13</v>
      </c>
      <c r="C128">
        <v>13.4</v>
      </c>
    </row>
    <row r="129" spans="1:3" x14ac:dyDescent="0.2">
      <c r="A129">
        <v>2020</v>
      </c>
      <c r="B129" t="s">
        <v>14</v>
      </c>
      <c r="C129">
        <v>0.9</v>
      </c>
    </row>
    <row r="130" spans="1:3" x14ac:dyDescent="0.2">
      <c r="A130">
        <v>2021</v>
      </c>
      <c r="B130" t="s">
        <v>7</v>
      </c>
      <c r="C130">
        <v>0.1</v>
      </c>
    </row>
    <row r="131" spans="1:3" x14ac:dyDescent="0.2">
      <c r="A131">
        <v>2021</v>
      </c>
      <c r="B131" t="s">
        <v>8</v>
      </c>
      <c r="C131">
        <v>10.3</v>
      </c>
    </row>
    <row r="132" spans="1:3" x14ac:dyDescent="0.2">
      <c r="A132">
        <v>2021</v>
      </c>
      <c r="B132" t="s">
        <v>9</v>
      </c>
      <c r="C132">
        <v>47.1</v>
      </c>
    </row>
    <row r="133" spans="1:3" x14ac:dyDescent="0.2">
      <c r="A133">
        <v>2021</v>
      </c>
      <c r="B133" t="s">
        <v>10</v>
      </c>
      <c r="C133">
        <v>87</v>
      </c>
    </row>
    <row r="134" spans="1:3" x14ac:dyDescent="0.2">
      <c r="A134">
        <v>2021</v>
      </c>
      <c r="B134" t="s">
        <v>11</v>
      </c>
      <c r="C134">
        <v>108.4</v>
      </c>
    </row>
    <row r="135" spans="1:3" x14ac:dyDescent="0.2">
      <c r="A135">
        <v>2021</v>
      </c>
      <c r="B135" t="s">
        <v>12</v>
      </c>
      <c r="C135">
        <v>62.6</v>
      </c>
    </row>
    <row r="136" spans="1:3" x14ac:dyDescent="0.2">
      <c r="A136">
        <v>2021</v>
      </c>
      <c r="B136" t="s">
        <v>13</v>
      </c>
      <c r="C136">
        <v>13.5</v>
      </c>
    </row>
    <row r="137" spans="1:3" x14ac:dyDescent="0.2">
      <c r="A137">
        <v>2021</v>
      </c>
      <c r="B137" t="s">
        <v>14</v>
      </c>
      <c r="C137">
        <v>0.6</v>
      </c>
    </row>
    <row r="138" spans="1:3" x14ac:dyDescent="0.2">
      <c r="A138">
        <v>2022</v>
      </c>
      <c r="B138" t="s">
        <v>7</v>
      </c>
      <c r="C138">
        <v>0.1</v>
      </c>
    </row>
    <row r="139" spans="1:3" x14ac:dyDescent="0.2">
      <c r="A139">
        <v>2022</v>
      </c>
      <c r="B139" t="s">
        <v>8</v>
      </c>
      <c r="C139">
        <v>11.1</v>
      </c>
    </row>
    <row r="140" spans="1:3" x14ac:dyDescent="0.2">
      <c r="A140">
        <v>2022</v>
      </c>
      <c r="B140" t="s">
        <v>9</v>
      </c>
      <c r="C140">
        <v>48.8</v>
      </c>
    </row>
    <row r="141" spans="1:3" x14ac:dyDescent="0.2">
      <c r="A141">
        <v>2022</v>
      </c>
      <c r="B141" t="s">
        <v>10</v>
      </c>
      <c r="C141">
        <v>87.8</v>
      </c>
    </row>
    <row r="142" spans="1:3" x14ac:dyDescent="0.2">
      <c r="A142">
        <v>2022</v>
      </c>
      <c r="B142" t="s">
        <v>11</v>
      </c>
      <c r="C142">
        <v>107.3</v>
      </c>
    </row>
    <row r="143" spans="1:3" x14ac:dyDescent="0.2">
      <c r="A143">
        <v>2022</v>
      </c>
      <c r="B143" t="s">
        <v>12</v>
      </c>
      <c r="C143">
        <v>63.4</v>
      </c>
    </row>
    <row r="144" spans="1:3" x14ac:dyDescent="0.2">
      <c r="A144">
        <v>2022</v>
      </c>
      <c r="B144" t="s">
        <v>13</v>
      </c>
      <c r="C144">
        <v>14.1</v>
      </c>
    </row>
    <row r="145" spans="1:3" x14ac:dyDescent="0.2">
      <c r="A145">
        <v>2022</v>
      </c>
      <c r="B145" t="s">
        <v>14</v>
      </c>
      <c r="C145">
        <v>0.8</v>
      </c>
    </row>
  </sheetData>
  <autoFilter ref="B1:B145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Sheet10</vt:lpstr>
      <vt:lpstr>Sheet8</vt:lpstr>
      <vt:lpstr>Report</vt:lpstr>
      <vt:lpstr>Analysis</vt:lpstr>
      <vt:lpstr>births-deaths-by-region</vt:lpstr>
      <vt:lpstr>births-deaths-natural-increase</vt:lpstr>
      <vt:lpstr>births-by-mothers-age</vt:lpstr>
      <vt:lpstr>age-specific-fertility-rates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Oluwatimilehin</dc:creator>
  <cp:lastModifiedBy>Grace Oluwatimilehin</cp:lastModifiedBy>
  <cp:lastPrinted>2025-11-30T11:32:24Z</cp:lastPrinted>
  <dcterms:created xsi:type="dcterms:W3CDTF">2025-11-23T10:36:01Z</dcterms:created>
  <dcterms:modified xsi:type="dcterms:W3CDTF">2025-11-30T11:59:08Z</dcterms:modified>
</cp:coreProperties>
</file>